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elajarku\Semester 8\Bantu Penelitia\"/>
    </mc:Choice>
  </mc:AlternateContent>
  <xr:revisionPtr revIDLastSave="0" documentId="13_ncr:1_{B216743C-4FC8-402D-9031-081265BD835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Kontrak" sheetId="1" r:id="rId1"/>
    <sheet name="KELAS B" sheetId="2" r:id="rId2"/>
    <sheet name="KELAS D" sheetId="3" r:id="rId3"/>
    <sheet name="KELAS E" sheetId="4" r:id="rId4"/>
    <sheet name="PENILAIAN_U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1" i="5" l="1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AQ25" i="4" s="1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AQ10" i="4" s="1"/>
  <c r="B72" i="5"/>
  <c r="AQ9" i="4" s="1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AQ39" i="2" s="1"/>
  <c r="B33" i="5"/>
  <c r="B32" i="5"/>
  <c r="B31" i="5"/>
  <c r="AQ36" i="2" s="1"/>
  <c r="B30" i="5"/>
  <c r="B29" i="5"/>
  <c r="AQ34" i="2" s="1"/>
  <c r="B28" i="5"/>
  <c r="B27" i="5"/>
  <c r="B26" i="5"/>
  <c r="B25" i="5"/>
  <c r="B24" i="5"/>
  <c r="B23" i="5"/>
  <c r="B22" i="5"/>
  <c r="AQ27" i="2" s="1"/>
  <c r="B21" i="5"/>
  <c r="B20" i="5"/>
  <c r="B19" i="5"/>
  <c r="AQ24" i="2" s="1"/>
  <c r="B18" i="5"/>
  <c r="AQ23" i="2" s="1"/>
  <c r="B17" i="5"/>
  <c r="B16" i="5"/>
  <c r="B15" i="5"/>
  <c r="AQ20" i="2" s="1"/>
  <c r="B14" i="5"/>
  <c r="B13" i="5"/>
  <c r="B12" i="5"/>
  <c r="B11" i="5"/>
  <c r="B10" i="5"/>
  <c r="B9" i="5"/>
  <c r="B8" i="5"/>
  <c r="B7" i="5"/>
  <c r="B6" i="5"/>
  <c r="B5" i="5"/>
  <c r="B4" i="5"/>
  <c r="B3" i="5"/>
  <c r="B2" i="5"/>
  <c r="AQ7" i="2" s="1"/>
  <c r="AQ27" i="4"/>
  <c r="AO27" i="4"/>
  <c r="AN27" i="4"/>
  <c r="AM27" i="4"/>
  <c r="AL27" i="4"/>
  <c r="AK27" i="4"/>
  <c r="AJ27" i="4"/>
  <c r="AI27" i="4"/>
  <c r="AH27" i="4"/>
  <c r="AP27" i="4" s="1"/>
  <c r="AG27" i="4"/>
  <c r="X27" i="4"/>
  <c r="J27" i="4"/>
  <c r="I27" i="4"/>
  <c r="H27" i="4"/>
  <c r="G27" i="4"/>
  <c r="F27" i="4"/>
  <c r="AO26" i="4"/>
  <c r="AN26" i="4"/>
  <c r="AM26" i="4"/>
  <c r="AL26" i="4"/>
  <c r="AK26" i="4"/>
  <c r="AJ26" i="4"/>
  <c r="AI26" i="4"/>
  <c r="AP26" i="4" s="1"/>
  <c r="AG26" i="4"/>
  <c r="X26" i="4"/>
  <c r="J26" i="4"/>
  <c r="I26" i="4"/>
  <c r="H26" i="4"/>
  <c r="G26" i="4"/>
  <c r="F26" i="4"/>
  <c r="AO25" i="4"/>
  <c r="AN25" i="4"/>
  <c r="AP25" i="4" s="1"/>
  <c r="AG25" i="4"/>
  <c r="X25" i="4"/>
  <c r="J25" i="4"/>
  <c r="I25" i="4"/>
  <c r="H25" i="4"/>
  <c r="G25" i="4"/>
  <c r="F25" i="4"/>
  <c r="AO24" i="4"/>
  <c r="AN24" i="4"/>
  <c r="AM24" i="4"/>
  <c r="AL24" i="4"/>
  <c r="AP24" i="4" s="1"/>
  <c r="AK24" i="4"/>
  <c r="AJ24" i="4"/>
  <c r="AG24" i="4"/>
  <c r="X24" i="4"/>
  <c r="J24" i="4"/>
  <c r="I24" i="4"/>
  <c r="H24" i="4"/>
  <c r="G24" i="4"/>
  <c r="F24" i="4"/>
  <c r="AO23" i="4"/>
  <c r="AN23" i="4"/>
  <c r="AM23" i="4"/>
  <c r="AL23" i="4"/>
  <c r="AK23" i="4"/>
  <c r="AJ23" i="4"/>
  <c r="AI23" i="4"/>
  <c r="AH23" i="4"/>
  <c r="AP23" i="4" s="1"/>
  <c r="AG23" i="4"/>
  <c r="X23" i="4"/>
  <c r="AR23" i="4" s="1"/>
  <c r="J23" i="4"/>
  <c r="I23" i="4"/>
  <c r="H23" i="4"/>
  <c r="G23" i="4"/>
  <c r="F23" i="4"/>
  <c r="AO22" i="4"/>
  <c r="AN22" i="4"/>
  <c r="AM22" i="4"/>
  <c r="AL22" i="4"/>
  <c r="AK22" i="4"/>
  <c r="AJ22" i="4"/>
  <c r="AI22" i="4"/>
  <c r="AH22" i="4"/>
  <c r="AP22" i="4" s="1"/>
  <c r="AG22" i="4"/>
  <c r="X22" i="4"/>
  <c r="J22" i="4"/>
  <c r="I22" i="4"/>
  <c r="H22" i="4"/>
  <c r="G22" i="4"/>
  <c r="F22" i="4"/>
  <c r="AO21" i="4"/>
  <c r="AN21" i="4"/>
  <c r="AM21" i="4"/>
  <c r="AL21" i="4"/>
  <c r="AK21" i="4"/>
  <c r="AJ21" i="4"/>
  <c r="AI21" i="4"/>
  <c r="AP21" i="4" s="1"/>
  <c r="AG21" i="4"/>
  <c r="X21" i="4"/>
  <c r="J21" i="4"/>
  <c r="I21" i="4"/>
  <c r="H21" i="4"/>
  <c r="G21" i="4"/>
  <c r="F21" i="4"/>
  <c r="AO20" i="4"/>
  <c r="AN20" i="4"/>
  <c r="AM20" i="4"/>
  <c r="AL20" i="4"/>
  <c r="AK20" i="4"/>
  <c r="AJ20" i="4"/>
  <c r="AP20" i="4" s="1"/>
  <c r="AI20" i="4"/>
  <c r="AG20" i="4"/>
  <c r="X20" i="4"/>
  <c r="J20" i="4"/>
  <c r="I20" i="4"/>
  <c r="H20" i="4"/>
  <c r="G20" i="4"/>
  <c r="F20" i="4"/>
  <c r="AO19" i="4"/>
  <c r="AN19" i="4"/>
  <c r="AM19" i="4"/>
  <c r="AL19" i="4"/>
  <c r="AK19" i="4"/>
  <c r="AJ19" i="4"/>
  <c r="AI19" i="4"/>
  <c r="AP19" i="4" s="1"/>
  <c r="AG19" i="4"/>
  <c r="X19" i="4"/>
  <c r="J19" i="4"/>
  <c r="I19" i="4"/>
  <c r="H19" i="4"/>
  <c r="G19" i="4"/>
  <c r="F19" i="4"/>
  <c r="AQ18" i="4"/>
  <c r="AO18" i="4"/>
  <c r="AN18" i="4"/>
  <c r="AM18" i="4"/>
  <c r="AL18" i="4"/>
  <c r="AK18" i="4"/>
  <c r="AJ18" i="4"/>
  <c r="AI18" i="4"/>
  <c r="AP18" i="4" s="1"/>
  <c r="AH18" i="4"/>
  <c r="AG18" i="4"/>
  <c r="X18" i="4"/>
  <c r="J18" i="4"/>
  <c r="I18" i="4"/>
  <c r="H18" i="4"/>
  <c r="G18" i="4"/>
  <c r="F18" i="4"/>
  <c r="AQ17" i="4"/>
  <c r="AO17" i="4"/>
  <c r="AN17" i="4"/>
  <c r="AP17" i="4" s="1"/>
  <c r="AG17" i="4"/>
  <c r="X17" i="4"/>
  <c r="J17" i="4"/>
  <c r="I17" i="4"/>
  <c r="H17" i="4"/>
  <c r="G17" i="4"/>
  <c r="F17" i="4"/>
  <c r="AO16" i="4"/>
  <c r="AN16" i="4"/>
  <c r="AM16" i="4"/>
  <c r="AL16" i="4"/>
  <c r="AK16" i="4"/>
  <c r="AJ16" i="4"/>
  <c r="AI16" i="4"/>
  <c r="AH16" i="4"/>
  <c r="AP16" i="4" s="1"/>
  <c r="AG16" i="4"/>
  <c r="X16" i="4"/>
  <c r="J16" i="4"/>
  <c r="I16" i="4"/>
  <c r="H16" i="4"/>
  <c r="G16" i="4"/>
  <c r="F16" i="4"/>
  <c r="AQ15" i="4"/>
  <c r="AP15" i="4"/>
  <c r="AG15" i="4"/>
  <c r="X15" i="4"/>
  <c r="J15" i="4"/>
  <c r="I15" i="4"/>
  <c r="H15" i="4"/>
  <c r="G15" i="4"/>
  <c r="F15" i="4"/>
  <c r="AO14" i="4"/>
  <c r="AN14" i="4"/>
  <c r="AP14" i="4" s="1"/>
  <c r="AM14" i="4"/>
  <c r="AL14" i="4"/>
  <c r="AK14" i="4"/>
  <c r="AJ14" i="4"/>
  <c r="AI14" i="4"/>
  <c r="AH14" i="4"/>
  <c r="AG14" i="4"/>
  <c r="X14" i="4"/>
  <c r="J14" i="4"/>
  <c r="I14" i="4"/>
  <c r="H14" i="4"/>
  <c r="G14" i="4"/>
  <c r="F14" i="4"/>
  <c r="AQ13" i="4"/>
  <c r="AO13" i="4"/>
  <c r="AP13" i="4" s="1"/>
  <c r="AN13" i="4"/>
  <c r="AM13" i="4"/>
  <c r="AL13" i="4"/>
  <c r="AK13" i="4"/>
  <c r="AJ13" i="4"/>
  <c r="AI13" i="4"/>
  <c r="AH13" i="4"/>
  <c r="AG13" i="4"/>
  <c r="X13" i="4"/>
  <c r="J13" i="4"/>
  <c r="I13" i="4"/>
  <c r="H13" i="4"/>
  <c r="G13" i="4"/>
  <c r="F13" i="4"/>
  <c r="AQ12" i="4"/>
  <c r="AO12" i="4"/>
  <c r="AN12" i="4"/>
  <c r="AM12" i="4"/>
  <c r="AL12" i="4"/>
  <c r="AK12" i="4"/>
  <c r="AJ12" i="4"/>
  <c r="AI12" i="4"/>
  <c r="AH12" i="4"/>
  <c r="AP12" i="4" s="1"/>
  <c r="AR12" i="4" s="1"/>
  <c r="AG12" i="4"/>
  <c r="X12" i="4"/>
  <c r="J12" i="4"/>
  <c r="I12" i="4"/>
  <c r="H12" i="4"/>
  <c r="G12" i="4"/>
  <c r="F12" i="4"/>
  <c r="AO11" i="4"/>
  <c r="AN11" i="4"/>
  <c r="AP11" i="4" s="1"/>
  <c r="AG11" i="4"/>
  <c r="X11" i="4"/>
  <c r="J11" i="4"/>
  <c r="I11" i="4"/>
  <c r="H11" i="4"/>
  <c r="G11" i="4"/>
  <c r="F11" i="4"/>
  <c r="AP10" i="4"/>
  <c r="AG10" i="4"/>
  <c r="X10" i="4"/>
  <c r="J10" i="4"/>
  <c r="I10" i="4"/>
  <c r="H10" i="4"/>
  <c r="G10" i="4"/>
  <c r="F10" i="4"/>
  <c r="AO9" i="4"/>
  <c r="AN9" i="4"/>
  <c r="AP9" i="4" s="1"/>
  <c r="AG9" i="4"/>
  <c r="X9" i="4"/>
  <c r="J9" i="4"/>
  <c r="I9" i="4"/>
  <c r="H9" i="4"/>
  <c r="G9" i="4"/>
  <c r="F9" i="4"/>
  <c r="AQ8" i="4"/>
  <c r="AO8" i="4"/>
  <c r="AN8" i="4"/>
  <c r="AM8" i="4"/>
  <c r="AL8" i="4"/>
  <c r="AK8" i="4"/>
  <c r="AJ8" i="4"/>
  <c r="AI8" i="4"/>
  <c r="AH8" i="4"/>
  <c r="AP8" i="4" s="1"/>
  <c r="AR8" i="4" s="1"/>
  <c r="AG8" i="4"/>
  <c r="X8" i="4"/>
  <c r="J8" i="4"/>
  <c r="I8" i="4"/>
  <c r="H8" i="4"/>
  <c r="G8" i="4"/>
  <c r="F8" i="4"/>
  <c r="AO7" i="4"/>
  <c r="AN7" i="4"/>
  <c r="AP7" i="4" s="1"/>
  <c r="AG7" i="4"/>
  <c r="X7" i="4"/>
  <c r="J7" i="4"/>
  <c r="I7" i="4"/>
  <c r="H7" i="4"/>
  <c r="G7" i="4"/>
  <c r="M7" i="4" s="1"/>
  <c r="F7" i="4"/>
  <c r="AO40" i="3"/>
  <c r="AN40" i="3"/>
  <c r="AM40" i="3"/>
  <c r="AL40" i="3"/>
  <c r="AK40" i="3"/>
  <c r="AJ40" i="3"/>
  <c r="AI40" i="3"/>
  <c r="AP40" i="3" s="1"/>
  <c r="AH40" i="3"/>
  <c r="AG40" i="3"/>
  <c r="X40" i="3"/>
  <c r="M40" i="3"/>
  <c r="J40" i="3"/>
  <c r="I40" i="3"/>
  <c r="H40" i="3"/>
  <c r="G40" i="3"/>
  <c r="F40" i="3"/>
  <c r="AO39" i="3"/>
  <c r="AN39" i="3"/>
  <c r="AM39" i="3"/>
  <c r="AL39" i="3"/>
  <c r="AK39" i="3"/>
  <c r="AJ39" i="3"/>
  <c r="AI39" i="3"/>
  <c r="AH39" i="3"/>
  <c r="AP39" i="3" s="1"/>
  <c r="AG39" i="3"/>
  <c r="X39" i="3"/>
  <c r="J39" i="3"/>
  <c r="I39" i="3"/>
  <c r="H39" i="3"/>
  <c r="G39" i="3"/>
  <c r="M39" i="3" s="1"/>
  <c r="F39" i="3"/>
  <c r="AO38" i="3"/>
  <c r="AP38" i="3" s="1"/>
  <c r="AN38" i="3"/>
  <c r="AM38" i="3"/>
  <c r="AL38" i="3"/>
  <c r="AK38" i="3"/>
  <c r="AJ38" i="3"/>
  <c r="AI38" i="3"/>
  <c r="AH38" i="3"/>
  <c r="AG38" i="3"/>
  <c r="X38" i="3"/>
  <c r="J38" i="3"/>
  <c r="I38" i="3"/>
  <c r="H38" i="3"/>
  <c r="G38" i="3"/>
  <c r="F38" i="3"/>
  <c r="M38" i="3" s="1"/>
  <c r="AP37" i="3"/>
  <c r="AO37" i="3"/>
  <c r="AN37" i="3"/>
  <c r="AM37" i="3"/>
  <c r="AL37" i="3"/>
  <c r="AK37" i="3"/>
  <c r="AJ37" i="3"/>
  <c r="AI37" i="3"/>
  <c r="AH37" i="3"/>
  <c r="AG37" i="3"/>
  <c r="X37" i="3"/>
  <c r="J37" i="3"/>
  <c r="I37" i="3"/>
  <c r="H37" i="3"/>
  <c r="G37" i="3"/>
  <c r="F37" i="3"/>
  <c r="M37" i="3" s="1"/>
  <c r="AO36" i="3"/>
  <c r="AN36" i="3"/>
  <c r="AM36" i="3"/>
  <c r="AL36" i="3"/>
  <c r="AK36" i="3"/>
  <c r="AJ36" i="3"/>
  <c r="AI36" i="3"/>
  <c r="AH36" i="3"/>
  <c r="AP36" i="3" s="1"/>
  <c r="AG36" i="3"/>
  <c r="X36" i="3"/>
  <c r="J36" i="3"/>
  <c r="I36" i="3"/>
  <c r="H36" i="3"/>
  <c r="G36" i="3"/>
  <c r="M36" i="3" s="1"/>
  <c r="F36" i="3"/>
  <c r="AO35" i="3"/>
  <c r="AN35" i="3"/>
  <c r="AM35" i="3"/>
  <c r="AL35" i="3"/>
  <c r="AK35" i="3"/>
  <c r="AJ35" i="3"/>
  <c r="AH35" i="3"/>
  <c r="AP35" i="3" s="1"/>
  <c r="AG35" i="3"/>
  <c r="X35" i="3"/>
  <c r="J35" i="3"/>
  <c r="I35" i="3"/>
  <c r="H35" i="3"/>
  <c r="G35" i="3"/>
  <c r="M35" i="3" s="1"/>
  <c r="F35" i="3"/>
  <c r="AO34" i="3"/>
  <c r="AN34" i="3"/>
  <c r="AM34" i="3"/>
  <c r="AL34" i="3"/>
  <c r="AK34" i="3"/>
  <c r="AJ34" i="3"/>
  <c r="AI34" i="3"/>
  <c r="AH34" i="3"/>
  <c r="AP34" i="3" s="1"/>
  <c r="AG34" i="3"/>
  <c r="X34" i="3"/>
  <c r="J34" i="3"/>
  <c r="I34" i="3"/>
  <c r="H34" i="3"/>
  <c r="G34" i="3"/>
  <c r="F34" i="3"/>
  <c r="M34" i="3" s="1"/>
  <c r="AO33" i="3"/>
  <c r="AN33" i="3"/>
  <c r="AM33" i="3"/>
  <c r="AL33" i="3"/>
  <c r="AP33" i="3" s="1"/>
  <c r="AK33" i="3"/>
  <c r="AJ33" i="3"/>
  <c r="AH33" i="3"/>
  <c r="AG33" i="3"/>
  <c r="X33" i="3"/>
  <c r="J33" i="3"/>
  <c r="I33" i="3"/>
  <c r="H33" i="3"/>
  <c r="G33" i="3"/>
  <c r="F33" i="3"/>
  <c r="M33" i="3" s="1"/>
  <c r="AO32" i="3"/>
  <c r="AN32" i="3"/>
  <c r="AM32" i="3"/>
  <c r="AL32" i="3"/>
  <c r="AP32" i="3" s="1"/>
  <c r="AK32" i="3"/>
  <c r="AJ32" i="3"/>
  <c r="AI32" i="3"/>
  <c r="AH32" i="3"/>
  <c r="AG32" i="3"/>
  <c r="X32" i="3"/>
  <c r="J32" i="3"/>
  <c r="I32" i="3"/>
  <c r="M32" i="3" s="1"/>
  <c r="H32" i="3"/>
  <c r="G32" i="3"/>
  <c r="F32" i="3"/>
  <c r="AO31" i="3"/>
  <c r="AN31" i="3"/>
  <c r="AM31" i="3"/>
  <c r="AL31" i="3"/>
  <c r="AK31" i="3"/>
  <c r="AJ31" i="3"/>
  <c r="AI31" i="3"/>
  <c r="AP31" i="3" s="1"/>
  <c r="AH31" i="3"/>
  <c r="AG31" i="3"/>
  <c r="X31" i="3"/>
  <c r="M31" i="3"/>
  <c r="J31" i="3"/>
  <c r="I31" i="3"/>
  <c r="H31" i="3"/>
  <c r="G31" i="3"/>
  <c r="F31" i="3"/>
  <c r="AO30" i="3"/>
  <c r="AN30" i="3"/>
  <c r="AM30" i="3"/>
  <c r="AL30" i="3"/>
  <c r="AK30" i="3"/>
  <c r="AJ30" i="3"/>
  <c r="AI30" i="3"/>
  <c r="AH30" i="3"/>
  <c r="AP30" i="3" s="1"/>
  <c r="AG30" i="3"/>
  <c r="X30" i="3"/>
  <c r="J30" i="3"/>
  <c r="I30" i="3"/>
  <c r="H30" i="3"/>
  <c r="G30" i="3"/>
  <c r="F30" i="3"/>
  <c r="M30" i="3" s="1"/>
  <c r="AO29" i="3"/>
  <c r="AN29" i="3"/>
  <c r="AM29" i="3"/>
  <c r="AL29" i="3"/>
  <c r="AK29" i="3"/>
  <c r="AJ29" i="3"/>
  <c r="AI29" i="3"/>
  <c r="AH29" i="3"/>
  <c r="AP29" i="3" s="1"/>
  <c r="AG29" i="3"/>
  <c r="X29" i="3"/>
  <c r="J29" i="3"/>
  <c r="I29" i="3"/>
  <c r="H29" i="3"/>
  <c r="G29" i="3"/>
  <c r="M29" i="3" s="1"/>
  <c r="F29" i="3"/>
  <c r="AO28" i="3"/>
  <c r="AN28" i="3"/>
  <c r="AM28" i="3"/>
  <c r="AL28" i="3"/>
  <c r="AK28" i="3"/>
  <c r="AJ28" i="3"/>
  <c r="AP28" i="3" s="1"/>
  <c r="AI28" i="3"/>
  <c r="AH28" i="3"/>
  <c r="AG28" i="3"/>
  <c r="X28" i="3"/>
  <c r="J28" i="3"/>
  <c r="I28" i="3"/>
  <c r="M28" i="3" s="1"/>
  <c r="AR28" i="3" s="1"/>
  <c r="H28" i="3"/>
  <c r="G28" i="3"/>
  <c r="F28" i="3"/>
  <c r="AO27" i="3"/>
  <c r="AN27" i="3"/>
  <c r="AM27" i="3"/>
  <c r="AL27" i="3"/>
  <c r="AK27" i="3"/>
  <c r="AJ27" i="3"/>
  <c r="AH27" i="3"/>
  <c r="AP27" i="3" s="1"/>
  <c r="AG27" i="3"/>
  <c r="X27" i="3"/>
  <c r="J27" i="3"/>
  <c r="I27" i="3"/>
  <c r="M27" i="3" s="1"/>
  <c r="H27" i="3"/>
  <c r="G27" i="3"/>
  <c r="F27" i="3"/>
  <c r="AO26" i="3"/>
  <c r="AN26" i="3"/>
  <c r="AM26" i="3"/>
  <c r="AL26" i="3"/>
  <c r="AK26" i="3"/>
  <c r="AJ26" i="3"/>
  <c r="AI26" i="3"/>
  <c r="AH26" i="3"/>
  <c r="AP26" i="3" s="1"/>
  <c r="AG26" i="3"/>
  <c r="X26" i="3"/>
  <c r="J26" i="3"/>
  <c r="I26" i="3"/>
  <c r="H26" i="3"/>
  <c r="G26" i="3"/>
  <c r="M26" i="3" s="1"/>
  <c r="F26" i="3"/>
  <c r="AO25" i="3"/>
  <c r="AN25" i="3"/>
  <c r="AM25" i="3"/>
  <c r="AL25" i="3"/>
  <c r="AK25" i="3"/>
  <c r="AJ25" i="3"/>
  <c r="AH25" i="3"/>
  <c r="AP25" i="3" s="1"/>
  <c r="AG25" i="3"/>
  <c r="X25" i="3"/>
  <c r="J25" i="3"/>
  <c r="I25" i="3"/>
  <c r="H25" i="3"/>
  <c r="G25" i="3"/>
  <c r="M25" i="3" s="1"/>
  <c r="F25" i="3"/>
  <c r="AO24" i="3"/>
  <c r="AN24" i="3"/>
  <c r="AM24" i="3"/>
  <c r="AL24" i="3"/>
  <c r="AK24" i="3"/>
  <c r="AJ24" i="3"/>
  <c r="AI24" i="3"/>
  <c r="AP24" i="3" s="1"/>
  <c r="AH24" i="3"/>
  <c r="AG24" i="3"/>
  <c r="X24" i="3"/>
  <c r="M24" i="3"/>
  <c r="J24" i="3"/>
  <c r="I24" i="3"/>
  <c r="H24" i="3"/>
  <c r="G24" i="3"/>
  <c r="F24" i="3"/>
  <c r="AO23" i="3"/>
  <c r="AN23" i="3"/>
  <c r="AM23" i="3"/>
  <c r="AL23" i="3"/>
  <c r="AK23" i="3"/>
  <c r="AJ23" i="3"/>
  <c r="AH23" i="3"/>
  <c r="AP23" i="3" s="1"/>
  <c r="AG23" i="3"/>
  <c r="X23" i="3"/>
  <c r="M23" i="3"/>
  <c r="J23" i="3"/>
  <c r="I23" i="3"/>
  <c r="H23" i="3"/>
  <c r="G23" i="3"/>
  <c r="F23" i="3"/>
  <c r="AO22" i="3"/>
  <c r="AN22" i="3"/>
  <c r="AM22" i="3"/>
  <c r="AL22" i="3"/>
  <c r="AK22" i="3"/>
  <c r="AJ22" i="3"/>
  <c r="AI22" i="3"/>
  <c r="AH22" i="3"/>
  <c r="AP22" i="3" s="1"/>
  <c r="AG22" i="3"/>
  <c r="X22" i="3"/>
  <c r="J22" i="3"/>
  <c r="I22" i="3"/>
  <c r="H22" i="3"/>
  <c r="G22" i="3"/>
  <c r="F22" i="3"/>
  <c r="M22" i="3" s="1"/>
  <c r="AO21" i="3"/>
  <c r="AN21" i="3"/>
  <c r="AP21" i="3" s="1"/>
  <c r="AM21" i="3"/>
  <c r="AL21" i="3"/>
  <c r="AK21" i="3"/>
  <c r="AJ21" i="3"/>
  <c r="AI21" i="3"/>
  <c r="AH21" i="3"/>
  <c r="AG21" i="3"/>
  <c r="X21" i="3"/>
  <c r="J21" i="3"/>
  <c r="I21" i="3"/>
  <c r="H21" i="3"/>
  <c r="G21" i="3"/>
  <c r="F21" i="3"/>
  <c r="M21" i="3" s="1"/>
  <c r="AO20" i="3"/>
  <c r="AP20" i="3" s="1"/>
  <c r="AN20" i="3"/>
  <c r="AM20" i="3"/>
  <c r="AL20" i="3"/>
  <c r="AK20" i="3"/>
  <c r="AJ20" i="3"/>
  <c r="AI20" i="3"/>
  <c r="AH20" i="3"/>
  <c r="AG20" i="3"/>
  <c r="X20" i="3"/>
  <c r="J20" i="3"/>
  <c r="I20" i="3"/>
  <c r="H20" i="3"/>
  <c r="G20" i="3"/>
  <c r="F20" i="3"/>
  <c r="M20" i="3" s="1"/>
  <c r="AO19" i="3"/>
  <c r="AN19" i="3"/>
  <c r="AM19" i="3"/>
  <c r="AL19" i="3"/>
  <c r="AK19" i="3"/>
  <c r="AJ19" i="3"/>
  <c r="AI19" i="3"/>
  <c r="AH19" i="3"/>
  <c r="AP19" i="3" s="1"/>
  <c r="AG19" i="3"/>
  <c r="X19" i="3"/>
  <c r="J19" i="3"/>
  <c r="I19" i="3"/>
  <c r="H19" i="3"/>
  <c r="G19" i="3"/>
  <c r="M19" i="3" s="1"/>
  <c r="AR19" i="3" s="1"/>
  <c r="F19" i="3"/>
  <c r="AO18" i="3"/>
  <c r="AN18" i="3"/>
  <c r="AM18" i="3"/>
  <c r="AL18" i="3"/>
  <c r="AK18" i="3"/>
  <c r="AJ18" i="3"/>
  <c r="AI18" i="3"/>
  <c r="AH18" i="3"/>
  <c r="AP18" i="3" s="1"/>
  <c r="AG18" i="3"/>
  <c r="X18" i="3"/>
  <c r="J18" i="3"/>
  <c r="I18" i="3"/>
  <c r="H18" i="3"/>
  <c r="G18" i="3"/>
  <c r="F18" i="3"/>
  <c r="M18" i="3" s="1"/>
  <c r="AO17" i="3"/>
  <c r="AN17" i="3"/>
  <c r="AM17" i="3"/>
  <c r="AL17" i="3"/>
  <c r="AK17" i="3"/>
  <c r="AJ17" i="3"/>
  <c r="AI17" i="3"/>
  <c r="AH17" i="3"/>
  <c r="AP17" i="3" s="1"/>
  <c r="AG17" i="3"/>
  <c r="X17" i="3"/>
  <c r="J17" i="3"/>
  <c r="M17" i="3" s="1"/>
  <c r="I17" i="3"/>
  <c r="H17" i="3"/>
  <c r="G17" i="3"/>
  <c r="F17" i="3"/>
  <c r="AO16" i="3"/>
  <c r="AN16" i="3"/>
  <c r="AM16" i="3"/>
  <c r="AL16" i="3"/>
  <c r="AK16" i="3"/>
  <c r="AJ16" i="3"/>
  <c r="AI16" i="3"/>
  <c r="AH16" i="3"/>
  <c r="AP16" i="3" s="1"/>
  <c r="AG16" i="3"/>
  <c r="X16" i="3"/>
  <c r="J16" i="3"/>
  <c r="I16" i="3"/>
  <c r="H16" i="3"/>
  <c r="G16" i="3"/>
  <c r="F16" i="3"/>
  <c r="M16" i="3" s="1"/>
  <c r="AO15" i="3"/>
  <c r="AN15" i="3"/>
  <c r="AM15" i="3"/>
  <c r="AL15" i="3"/>
  <c r="AK15" i="3"/>
  <c r="AI15" i="3"/>
  <c r="AH15" i="3"/>
  <c r="AP15" i="3" s="1"/>
  <c r="AG15" i="3"/>
  <c r="X15" i="3"/>
  <c r="J15" i="3"/>
  <c r="I15" i="3"/>
  <c r="H15" i="3"/>
  <c r="G15" i="3"/>
  <c r="F15" i="3"/>
  <c r="M15" i="3" s="1"/>
  <c r="AO14" i="3"/>
  <c r="AN14" i="3"/>
  <c r="AM14" i="3"/>
  <c r="AL14" i="3"/>
  <c r="AK14" i="3"/>
  <c r="AJ14" i="3"/>
  <c r="AI14" i="3"/>
  <c r="AH14" i="3"/>
  <c r="AP14" i="3" s="1"/>
  <c r="AG14" i="3"/>
  <c r="X14" i="3"/>
  <c r="J14" i="3"/>
  <c r="I14" i="3"/>
  <c r="H14" i="3"/>
  <c r="G14" i="3"/>
  <c r="F14" i="3"/>
  <c r="M14" i="3" s="1"/>
  <c r="AO13" i="3"/>
  <c r="AN13" i="3"/>
  <c r="AM13" i="3"/>
  <c r="AL13" i="3"/>
  <c r="AK13" i="3"/>
  <c r="AJ13" i="3"/>
  <c r="AH13" i="3"/>
  <c r="AP13" i="3" s="1"/>
  <c r="AG13" i="3"/>
  <c r="X13" i="3"/>
  <c r="J13" i="3"/>
  <c r="I13" i="3"/>
  <c r="H13" i="3"/>
  <c r="G13" i="3"/>
  <c r="F13" i="3"/>
  <c r="M13" i="3" s="1"/>
  <c r="AO12" i="3"/>
  <c r="AN12" i="3"/>
  <c r="AM12" i="3"/>
  <c r="AL12" i="3"/>
  <c r="AK12" i="3"/>
  <c r="AJ12" i="3"/>
  <c r="AH12" i="3"/>
  <c r="AP12" i="3" s="1"/>
  <c r="AG12" i="3"/>
  <c r="X12" i="3"/>
  <c r="J12" i="3"/>
  <c r="I12" i="3"/>
  <c r="H12" i="3"/>
  <c r="G12" i="3"/>
  <c r="M12" i="3" s="1"/>
  <c r="AR12" i="3" s="1"/>
  <c r="F12" i="3"/>
  <c r="AO11" i="3"/>
  <c r="AN11" i="3"/>
  <c r="AM11" i="3"/>
  <c r="AL11" i="3"/>
  <c r="AK11" i="3"/>
  <c r="AJ11" i="3"/>
  <c r="AP11" i="3" s="1"/>
  <c r="AI11" i="3"/>
  <c r="AH11" i="3"/>
  <c r="AG11" i="3"/>
  <c r="X11" i="3"/>
  <c r="J11" i="3"/>
  <c r="I11" i="3"/>
  <c r="M11" i="3" s="1"/>
  <c r="AR11" i="3" s="1"/>
  <c r="H11" i="3"/>
  <c r="G11" i="3"/>
  <c r="F11" i="3"/>
  <c r="AO10" i="3"/>
  <c r="AN10" i="3"/>
  <c r="AM10" i="3"/>
  <c r="AL10" i="3"/>
  <c r="AK10" i="3"/>
  <c r="AJ10" i="3"/>
  <c r="AI10" i="3"/>
  <c r="AH10" i="3"/>
  <c r="AP10" i="3" s="1"/>
  <c r="AG10" i="3"/>
  <c r="X10" i="3"/>
  <c r="J10" i="3"/>
  <c r="I10" i="3"/>
  <c r="H10" i="3"/>
  <c r="G10" i="3"/>
  <c r="M10" i="3" s="1"/>
  <c r="F10" i="3"/>
  <c r="AO9" i="3"/>
  <c r="AN9" i="3"/>
  <c r="AM9" i="3"/>
  <c r="AL9" i="3"/>
  <c r="AK9" i="3"/>
  <c r="AJ9" i="3"/>
  <c r="AI9" i="3"/>
  <c r="AH9" i="3"/>
  <c r="AP9" i="3" s="1"/>
  <c r="AG9" i="3"/>
  <c r="X9" i="3"/>
  <c r="J9" i="3"/>
  <c r="I9" i="3"/>
  <c r="H9" i="3"/>
  <c r="G9" i="3"/>
  <c r="F9" i="3"/>
  <c r="M9" i="3" s="1"/>
  <c r="AR9" i="3" s="1"/>
  <c r="AO8" i="3"/>
  <c r="AN8" i="3"/>
  <c r="AP8" i="3" s="1"/>
  <c r="AM8" i="3"/>
  <c r="AL8" i="3"/>
  <c r="AK8" i="3"/>
  <c r="AJ8" i="3"/>
  <c r="AH8" i="3"/>
  <c r="AG8" i="3"/>
  <c r="X8" i="3"/>
  <c r="J8" i="3"/>
  <c r="I8" i="3"/>
  <c r="H8" i="3"/>
  <c r="G8" i="3"/>
  <c r="F8" i="3"/>
  <c r="M8" i="3" s="1"/>
  <c r="AO7" i="3"/>
  <c r="AP7" i="3" s="1"/>
  <c r="AN7" i="3"/>
  <c r="AM7" i="3"/>
  <c r="AL7" i="3"/>
  <c r="AK7" i="3"/>
  <c r="AJ7" i="3"/>
  <c r="AI7" i="3"/>
  <c r="AH7" i="3"/>
  <c r="AG7" i="3"/>
  <c r="X7" i="3"/>
  <c r="J7" i="3"/>
  <c r="I7" i="3"/>
  <c r="H7" i="3"/>
  <c r="G7" i="3"/>
  <c r="F7" i="3"/>
  <c r="M7" i="3" s="1"/>
  <c r="AR7" i="3" s="1"/>
  <c r="AQ40" i="2"/>
  <c r="AO40" i="2"/>
  <c r="AN40" i="2"/>
  <c r="AM40" i="2"/>
  <c r="AL40" i="2"/>
  <c r="AK40" i="2"/>
  <c r="AJ40" i="2"/>
  <c r="AI40" i="2"/>
  <c r="AH40" i="2"/>
  <c r="AP40" i="2" s="1"/>
  <c r="AG40" i="2"/>
  <c r="X40" i="2"/>
  <c r="J40" i="2"/>
  <c r="I40" i="2"/>
  <c r="H40" i="2"/>
  <c r="G40" i="2"/>
  <c r="M40" i="2" s="1"/>
  <c r="F40" i="2"/>
  <c r="AO39" i="2"/>
  <c r="AN39" i="2"/>
  <c r="AM39" i="2"/>
  <c r="AL39" i="2"/>
  <c r="AK39" i="2"/>
  <c r="AJ39" i="2"/>
  <c r="AP39" i="2" s="1"/>
  <c r="AH39" i="2"/>
  <c r="AG39" i="2"/>
  <c r="X39" i="2"/>
  <c r="J39" i="2"/>
  <c r="I39" i="2"/>
  <c r="M39" i="2" s="1"/>
  <c r="H39" i="2"/>
  <c r="G39" i="2"/>
  <c r="F39" i="2"/>
  <c r="AQ38" i="2"/>
  <c r="AO38" i="2"/>
  <c r="AN38" i="2"/>
  <c r="AP38" i="2" s="1"/>
  <c r="AM38" i="2"/>
  <c r="AL38" i="2"/>
  <c r="AK38" i="2"/>
  <c r="AJ38" i="2"/>
  <c r="AG38" i="2"/>
  <c r="X38" i="2"/>
  <c r="J38" i="2"/>
  <c r="I38" i="2"/>
  <c r="M38" i="2" s="1"/>
  <c r="H38" i="2"/>
  <c r="G38" i="2"/>
  <c r="F38" i="2"/>
  <c r="AQ37" i="2"/>
  <c r="AO37" i="2"/>
  <c r="AN37" i="2"/>
  <c r="AM37" i="2"/>
  <c r="AL37" i="2"/>
  <c r="AK37" i="2"/>
  <c r="AJ37" i="2"/>
  <c r="AI37" i="2"/>
  <c r="AP37" i="2" s="1"/>
  <c r="AG37" i="2"/>
  <c r="X37" i="2"/>
  <c r="J37" i="2"/>
  <c r="M37" i="2" s="1"/>
  <c r="I37" i="2"/>
  <c r="H37" i="2"/>
  <c r="G37" i="2"/>
  <c r="F37" i="2"/>
  <c r="AP36" i="2"/>
  <c r="AO36" i="2"/>
  <c r="AN36" i="2"/>
  <c r="AM36" i="2"/>
  <c r="AL36" i="2"/>
  <c r="AK36" i="2"/>
  <c r="AJ36" i="2"/>
  <c r="AH36" i="2"/>
  <c r="AG36" i="2"/>
  <c r="X36" i="2"/>
  <c r="J36" i="2"/>
  <c r="I36" i="2"/>
  <c r="H36" i="2"/>
  <c r="G36" i="2"/>
  <c r="F36" i="2"/>
  <c r="M36" i="2" s="1"/>
  <c r="AR36" i="2" s="1"/>
  <c r="AQ35" i="2"/>
  <c r="AO35" i="2"/>
  <c r="AN35" i="2"/>
  <c r="AM35" i="2"/>
  <c r="AL35" i="2"/>
  <c r="AK35" i="2"/>
  <c r="AJ35" i="2"/>
  <c r="AI35" i="2"/>
  <c r="AP35" i="2" s="1"/>
  <c r="AG35" i="2"/>
  <c r="X35" i="2"/>
  <c r="J35" i="2"/>
  <c r="I35" i="2"/>
  <c r="H35" i="2"/>
  <c r="G35" i="2"/>
  <c r="F35" i="2"/>
  <c r="M35" i="2" s="1"/>
  <c r="AO34" i="2"/>
  <c r="AN34" i="2"/>
  <c r="AM34" i="2"/>
  <c r="AL34" i="2"/>
  <c r="AK34" i="2"/>
  <c r="AJ34" i="2"/>
  <c r="AI34" i="2"/>
  <c r="AP34" i="2" s="1"/>
  <c r="AH34" i="2"/>
  <c r="AG34" i="2"/>
  <c r="X34" i="2"/>
  <c r="J34" i="2"/>
  <c r="I34" i="2"/>
  <c r="H34" i="2"/>
  <c r="G34" i="2"/>
  <c r="F34" i="2"/>
  <c r="M34" i="2" s="1"/>
  <c r="AQ33" i="2"/>
  <c r="AO33" i="2"/>
  <c r="AN33" i="2"/>
  <c r="AM33" i="2"/>
  <c r="AL33" i="2"/>
  <c r="AP33" i="2" s="1"/>
  <c r="AK33" i="2"/>
  <c r="AH33" i="2"/>
  <c r="AG33" i="2"/>
  <c r="X33" i="2"/>
  <c r="J33" i="2"/>
  <c r="I33" i="2"/>
  <c r="M33" i="2" s="1"/>
  <c r="AR33" i="2" s="1"/>
  <c r="H33" i="2"/>
  <c r="G33" i="2"/>
  <c r="F33" i="2"/>
  <c r="AQ32" i="2"/>
  <c r="AO32" i="2"/>
  <c r="AN32" i="2"/>
  <c r="AM32" i="2"/>
  <c r="AL32" i="2"/>
  <c r="AK32" i="2"/>
  <c r="AJ32" i="2"/>
  <c r="AI32" i="2"/>
  <c r="AH32" i="2"/>
  <c r="AP32" i="2" s="1"/>
  <c r="AG32" i="2"/>
  <c r="X32" i="2"/>
  <c r="J32" i="2"/>
  <c r="I32" i="2"/>
  <c r="H32" i="2"/>
  <c r="G32" i="2"/>
  <c r="M32" i="2" s="1"/>
  <c r="AR32" i="2" s="1"/>
  <c r="F32" i="2"/>
  <c r="AQ31" i="2"/>
  <c r="AO31" i="2"/>
  <c r="AP31" i="2" s="1"/>
  <c r="AN31" i="2"/>
  <c r="AM31" i="2"/>
  <c r="AL31" i="2"/>
  <c r="AK31" i="2"/>
  <c r="AJ31" i="2"/>
  <c r="AG31" i="2"/>
  <c r="X31" i="2"/>
  <c r="J31" i="2"/>
  <c r="I31" i="2"/>
  <c r="H31" i="2"/>
  <c r="G31" i="2"/>
  <c r="F31" i="2"/>
  <c r="M31" i="2" s="1"/>
  <c r="AQ30" i="2"/>
  <c r="AP30" i="2"/>
  <c r="AO30" i="2"/>
  <c r="AN30" i="2"/>
  <c r="AM30" i="2"/>
  <c r="AL30" i="2"/>
  <c r="AK30" i="2"/>
  <c r="AH30" i="2"/>
  <c r="AG30" i="2"/>
  <c r="X30" i="2"/>
  <c r="J30" i="2"/>
  <c r="I30" i="2"/>
  <c r="H30" i="2"/>
  <c r="G30" i="2"/>
  <c r="F30" i="2"/>
  <c r="M30" i="2" s="1"/>
  <c r="AR30" i="2" s="1"/>
  <c r="AQ29" i="2"/>
  <c r="AO29" i="2"/>
  <c r="AN29" i="2"/>
  <c r="AM29" i="2"/>
  <c r="AL29" i="2"/>
  <c r="AK29" i="2"/>
  <c r="AH29" i="2"/>
  <c r="AP29" i="2" s="1"/>
  <c r="AG29" i="2"/>
  <c r="X29" i="2"/>
  <c r="J29" i="2"/>
  <c r="I29" i="2"/>
  <c r="H29" i="2"/>
  <c r="G29" i="2"/>
  <c r="F29" i="2"/>
  <c r="M29" i="2" s="1"/>
  <c r="AR29" i="2" s="1"/>
  <c r="AQ28" i="2"/>
  <c r="AO28" i="2"/>
  <c r="AN28" i="2"/>
  <c r="AM28" i="2"/>
  <c r="AL28" i="2"/>
  <c r="AK28" i="2"/>
  <c r="AJ28" i="2"/>
  <c r="AH28" i="2"/>
  <c r="AP28" i="2" s="1"/>
  <c r="AG28" i="2"/>
  <c r="X28" i="2"/>
  <c r="J28" i="2"/>
  <c r="I28" i="2"/>
  <c r="H28" i="2"/>
  <c r="G28" i="2"/>
  <c r="F28" i="2"/>
  <c r="M28" i="2" s="1"/>
  <c r="AO27" i="2"/>
  <c r="AN27" i="2"/>
  <c r="AM27" i="2"/>
  <c r="AL27" i="2"/>
  <c r="AP27" i="2" s="1"/>
  <c r="AK27" i="2"/>
  <c r="AH27" i="2"/>
  <c r="AG27" i="2"/>
  <c r="X27" i="2"/>
  <c r="J27" i="2"/>
  <c r="I27" i="2"/>
  <c r="H27" i="2"/>
  <c r="G27" i="2"/>
  <c r="M27" i="2" s="1"/>
  <c r="F27" i="2"/>
  <c r="AQ26" i="2"/>
  <c r="AO26" i="2"/>
  <c r="AN26" i="2"/>
  <c r="AM26" i="2"/>
  <c r="AL26" i="2"/>
  <c r="AK26" i="2"/>
  <c r="AJ26" i="2"/>
  <c r="AP26" i="2" s="1"/>
  <c r="AG26" i="2"/>
  <c r="X26" i="2"/>
  <c r="J26" i="2"/>
  <c r="I26" i="2"/>
  <c r="H26" i="2"/>
  <c r="G26" i="2"/>
  <c r="F26" i="2"/>
  <c r="M26" i="2" s="1"/>
  <c r="AQ25" i="2"/>
  <c r="AO25" i="2"/>
  <c r="AN25" i="2"/>
  <c r="AM25" i="2"/>
  <c r="AL25" i="2"/>
  <c r="AK25" i="2"/>
  <c r="AJ25" i="2"/>
  <c r="AI25" i="2"/>
  <c r="AH25" i="2"/>
  <c r="AP25" i="2" s="1"/>
  <c r="AG25" i="2"/>
  <c r="X25" i="2"/>
  <c r="J25" i="2"/>
  <c r="M25" i="2" s="1"/>
  <c r="I25" i="2"/>
  <c r="H25" i="2"/>
  <c r="G25" i="2"/>
  <c r="F25" i="2"/>
  <c r="AP24" i="2"/>
  <c r="AO24" i="2"/>
  <c r="AN24" i="2"/>
  <c r="AM24" i="2"/>
  <c r="AL24" i="2"/>
  <c r="AK24" i="2"/>
  <c r="AH24" i="2"/>
  <c r="AG24" i="2"/>
  <c r="X24" i="2"/>
  <c r="M24" i="2"/>
  <c r="AR24" i="2" s="1"/>
  <c r="J24" i="2"/>
  <c r="I24" i="2"/>
  <c r="H24" i="2"/>
  <c r="G24" i="2"/>
  <c r="F24" i="2"/>
  <c r="AO23" i="2"/>
  <c r="AN23" i="2"/>
  <c r="AM23" i="2"/>
  <c r="AL23" i="2"/>
  <c r="AK23" i="2"/>
  <c r="AH23" i="2"/>
  <c r="AP23" i="2" s="1"/>
  <c r="AG23" i="2"/>
  <c r="X23" i="2"/>
  <c r="J23" i="2"/>
  <c r="I23" i="2"/>
  <c r="H23" i="2"/>
  <c r="G23" i="2"/>
  <c r="F23" i="2"/>
  <c r="M23" i="2" s="1"/>
  <c r="AR23" i="2" s="1"/>
  <c r="AQ22" i="2"/>
  <c r="AO22" i="2"/>
  <c r="AN22" i="2"/>
  <c r="AM22" i="2"/>
  <c r="AL22" i="2"/>
  <c r="AK22" i="2"/>
  <c r="AH22" i="2"/>
  <c r="AP22" i="2" s="1"/>
  <c r="AG22" i="2"/>
  <c r="X22" i="2"/>
  <c r="J22" i="2"/>
  <c r="I22" i="2"/>
  <c r="H22" i="2"/>
  <c r="G22" i="2"/>
  <c r="F22" i="2"/>
  <c r="M22" i="2" s="1"/>
  <c r="AR22" i="2" s="1"/>
  <c r="AQ21" i="2"/>
  <c r="AO21" i="2"/>
  <c r="AN21" i="2"/>
  <c r="AM21" i="2"/>
  <c r="AL21" i="2"/>
  <c r="AK21" i="2"/>
  <c r="AH21" i="2"/>
  <c r="AP21" i="2" s="1"/>
  <c r="AG21" i="2"/>
  <c r="X21" i="2"/>
  <c r="J21" i="2"/>
  <c r="I21" i="2"/>
  <c r="H21" i="2"/>
  <c r="G21" i="2"/>
  <c r="M21" i="2" s="1"/>
  <c r="AR21" i="2" s="1"/>
  <c r="F21" i="2"/>
  <c r="AO20" i="2"/>
  <c r="AN20" i="2"/>
  <c r="AM20" i="2"/>
  <c r="AL20" i="2"/>
  <c r="AK20" i="2"/>
  <c r="AJ20" i="2"/>
  <c r="AI20" i="2"/>
  <c r="AH20" i="2"/>
  <c r="AP20" i="2" s="1"/>
  <c r="AG20" i="2"/>
  <c r="X20" i="2"/>
  <c r="J20" i="2"/>
  <c r="I20" i="2"/>
  <c r="H20" i="2"/>
  <c r="G20" i="2"/>
  <c r="M20" i="2" s="1"/>
  <c r="AR20" i="2" s="1"/>
  <c r="F20" i="2"/>
  <c r="AQ19" i="2"/>
  <c r="AO19" i="2"/>
  <c r="AN19" i="2"/>
  <c r="AM19" i="2"/>
  <c r="AL19" i="2"/>
  <c r="AK19" i="2"/>
  <c r="AP19" i="2" s="1"/>
  <c r="AG19" i="2"/>
  <c r="X19" i="2"/>
  <c r="J19" i="2"/>
  <c r="I19" i="2"/>
  <c r="M19" i="2" s="1"/>
  <c r="H19" i="2"/>
  <c r="G19" i="2"/>
  <c r="F19" i="2"/>
  <c r="AQ18" i="2"/>
  <c r="AO18" i="2"/>
  <c r="AN18" i="2"/>
  <c r="AM18" i="2"/>
  <c r="AL18" i="2"/>
  <c r="AK18" i="2"/>
  <c r="AJ18" i="2"/>
  <c r="AI18" i="2"/>
  <c r="AP18" i="2" s="1"/>
  <c r="AG18" i="2"/>
  <c r="X18" i="2"/>
  <c r="M18" i="2"/>
  <c r="J18" i="2"/>
  <c r="I18" i="2"/>
  <c r="H18" i="2"/>
  <c r="G18" i="2"/>
  <c r="F18" i="2"/>
  <c r="AQ17" i="2"/>
  <c r="AO17" i="2"/>
  <c r="AN17" i="2"/>
  <c r="AP17" i="2" s="1"/>
  <c r="AM17" i="2"/>
  <c r="AL17" i="2"/>
  <c r="AK17" i="2"/>
  <c r="AJ17" i="2"/>
  <c r="AH17" i="2"/>
  <c r="AG17" i="2"/>
  <c r="X17" i="2"/>
  <c r="J17" i="2"/>
  <c r="I17" i="2"/>
  <c r="H17" i="2"/>
  <c r="G17" i="2"/>
  <c r="F17" i="2"/>
  <c r="M17" i="2" s="1"/>
  <c r="AQ16" i="2"/>
  <c r="AP16" i="2"/>
  <c r="AO16" i="2"/>
  <c r="AN16" i="2"/>
  <c r="AM16" i="2"/>
  <c r="AL16" i="2"/>
  <c r="AK16" i="2"/>
  <c r="AJ16" i="2"/>
  <c r="AI16" i="2"/>
  <c r="AH16" i="2"/>
  <c r="AG16" i="2"/>
  <c r="X16" i="2"/>
  <c r="J16" i="2"/>
  <c r="I16" i="2"/>
  <c r="H16" i="2"/>
  <c r="G16" i="2"/>
  <c r="F16" i="2"/>
  <c r="M16" i="2" s="1"/>
  <c r="AR16" i="2" s="1"/>
  <c r="AQ15" i="2"/>
  <c r="AO15" i="2"/>
  <c r="AN15" i="2"/>
  <c r="AM15" i="2"/>
  <c r="AL15" i="2"/>
  <c r="AK15" i="2"/>
  <c r="AJ15" i="2"/>
  <c r="AI15" i="2"/>
  <c r="AH15" i="2"/>
  <c r="AP15" i="2" s="1"/>
  <c r="AG15" i="2"/>
  <c r="X15" i="2"/>
  <c r="J15" i="2"/>
  <c r="I15" i="2"/>
  <c r="H15" i="2"/>
  <c r="G15" i="2"/>
  <c r="M15" i="2" s="1"/>
  <c r="F15" i="2"/>
  <c r="AQ14" i="2"/>
  <c r="AO14" i="2"/>
  <c r="AN14" i="2"/>
  <c r="AM14" i="2"/>
  <c r="AL14" i="2"/>
  <c r="AK14" i="2"/>
  <c r="AJ14" i="2"/>
  <c r="AH14" i="2"/>
  <c r="AP14" i="2" s="1"/>
  <c r="AG14" i="2"/>
  <c r="X14" i="2"/>
  <c r="J14" i="2"/>
  <c r="M14" i="2" s="1"/>
  <c r="I14" i="2"/>
  <c r="H14" i="2"/>
  <c r="G14" i="2"/>
  <c r="F14" i="2"/>
  <c r="AQ13" i="2"/>
  <c r="AO13" i="2"/>
  <c r="AN13" i="2"/>
  <c r="AM13" i="2"/>
  <c r="AL13" i="2"/>
  <c r="AK13" i="2"/>
  <c r="AJ13" i="2"/>
  <c r="AI13" i="2"/>
  <c r="AH13" i="2"/>
  <c r="AP13" i="2" s="1"/>
  <c r="AG13" i="2"/>
  <c r="X13" i="2"/>
  <c r="J13" i="2"/>
  <c r="I13" i="2"/>
  <c r="H13" i="2"/>
  <c r="G13" i="2"/>
  <c r="F13" i="2"/>
  <c r="M13" i="2" s="1"/>
  <c r="AQ12" i="2"/>
  <c r="AO12" i="2"/>
  <c r="AN12" i="2"/>
  <c r="AM12" i="2"/>
  <c r="AL12" i="2"/>
  <c r="AK12" i="2"/>
  <c r="AJ12" i="2"/>
  <c r="AH12" i="2"/>
  <c r="AP12" i="2" s="1"/>
  <c r="AG12" i="2"/>
  <c r="X12" i="2"/>
  <c r="J12" i="2"/>
  <c r="I12" i="2"/>
  <c r="H12" i="2"/>
  <c r="G12" i="2"/>
  <c r="M12" i="2" s="1"/>
  <c r="F12" i="2"/>
  <c r="AQ11" i="2"/>
  <c r="AO11" i="2"/>
  <c r="AN11" i="2"/>
  <c r="AM11" i="2"/>
  <c r="AL11" i="2"/>
  <c r="AK11" i="2"/>
  <c r="AJ11" i="2"/>
  <c r="AI11" i="2"/>
  <c r="AH11" i="2"/>
  <c r="AP11" i="2" s="1"/>
  <c r="AG11" i="2"/>
  <c r="X11" i="2"/>
  <c r="J11" i="2"/>
  <c r="I11" i="2"/>
  <c r="H11" i="2"/>
  <c r="G11" i="2"/>
  <c r="F11" i="2"/>
  <c r="M11" i="2" s="1"/>
  <c r="AQ10" i="2"/>
  <c r="AO10" i="2"/>
  <c r="AN10" i="2"/>
  <c r="AP10" i="2" s="1"/>
  <c r="AM10" i="2"/>
  <c r="AL10" i="2"/>
  <c r="AK10" i="2"/>
  <c r="AJ10" i="2"/>
  <c r="AH10" i="2"/>
  <c r="AG10" i="2"/>
  <c r="X10" i="2"/>
  <c r="J10" i="2"/>
  <c r="I10" i="2"/>
  <c r="H10" i="2"/>
  <c r="G10" i="2"/>
  <c r="F10" i="2"/>
  <c r="M10" i="2" s="1"/>
  <c r="AQ9" i="2"/>
  <c r="AO9" i="2"/>
  <c r="AP9" i="2" s="1"/>
  <c r="AN9" i="2"/>
  <c r="AM9" i="2"/>
  <c r="AL9" i="2"/>
  <c r="AK9" i="2"/>
  <c r="AJ9" i="2"/>
  <c r="AH9" i="2"/>
  <c r="AG9" i="2"/>
  <c r="X9" i="2"/>
  <c r="J9" i="2"/>
  <c r="I9" i="2"/>
  <c r="H9" i="2"/>
  <c r="G9" i="2"/>
  <c r="F9" i="2"/>
  <c r="M9" i="2" s="1"/>
  <c r="AQ8" i="2"/>
  <c r="AP8" i="2"/>
  <c r="AG8" i="2"/>
  <c r="X8" i="2"/>
  <c r="J8" i="2"/>
  <c r="I8" i="2"/>
  <c r="H8" i="2"/>
  <c r="G8" i="2"/>
  <c r="F8" i="2"/>
  <c r="M8" i="2" s="1"/>
  <c r="AR8" i="2" s="1"/>
  <c r="AP7" i="2"/>
  <c r="AG7" i="2"/>
  <c r="X7" i="2"/>
  <c r="J7" i="2"/>
  <c r="M7" i="2" s="1"/>
  <c r="I7" i="2"/>
  <c r="H7" i="2"/>
  <c r="G7" i="2"/>
  <c r="F7" i="2"/>
  <c r="AR7" i="2" l="1"/>
  <c r="AR31" i="3"/>
  <c r="AR38" i="3"/>
  <c r="AR14" i="4"/>
  <c r="AR11" i="2"/>
  <c r="AR16" i="3"/>
  <c r="AR10" i="2"/>
  <c r="AR12" i="2"/>
  <c r="AR27" i="2"/>
  <c r="AR30" i="3"/>
  <c r="AR26" i="2"/>
  <c r="AR39" i="2"/>
  <c r="AR14" i="2"/>
  <c r="AR18" i="2"/>
  <c r="AR17" i="3"/>
</calcChain>
</file>

<file path=xl/sharedStrings.xml><?xml version="1.0" encoding="utf-8"?>
<sst xmlns="http://schemas.openxmlformats.org/spreadsheetml/2006/main" count="169" uniqueCount="117">
  <si>
    <t>KELAS E</t>
  </si>
  <si>
    <t>v</t>
  </si>
  <si>
    <t>KELAS D</t>
  </si>
  <si>
    <t>KELAS B</t>
  </si>
  <si>
    <t>Tugas pendahuluan dan respon</t>
  </si>
  <si>
    <t>Laporan</t>
  </si>
  <si>
    <t>Keaktifan</t>
  </si>
  <si>
    <t xml:space="preserve">Final </t>
  </si>
  <si>
    <t>Kehadiran</t>
  </si>
  <si>
    <t>NIM</t>
  </si>
  <si>
    <t>NAMA</t>
  </si>
  <si>
    <t>Nilai Kehadiran</t>
  </si>
  <si>
    <t>Nilai Keaktifan</t>
  </si>
  <si>
    <t>Tugas Pendahuluan</t>
  </si>
  <si>
    <t>Nilai TP</t>
  </si>
  <si>
    <t>Nilai Laporan</t>
  </si>
  <si>
    <t>Nilai UAS</t>
  </si>
  <si>
    <t>Nilai Hasil</t>
  </si>
  <si>
    <t>LP Ass1</t>
  </si>
  <si>
    <t>LP Ass2</t>
  </si>
  <si>
    <t>final</t>
  </si>
  <si>
    <t>nilai flowchart</t>
  </si>
  <si>
    <t>nilai kodingan</t>
  </si>
  <si>
    <t>IBRAHIM</t>
  </si>
  <si>
    <t>MUH SYAMSUL JAMIL</t>
  </si>
  <si>
    <t>AHMAD FAUZI ALI</t>
  </si>
  <si>
    <t>85,5</t>
  </si>
  <si>
    <t>87,5</t>
  </si>
  <si>
    <t>86,5</t>
  </si>
  <si>
    <t>MUH. ALFARIZI RAMADHAN</t>
  </si>
  <si>
    <t>SHAKIRA AL - MAHDALY</t>
  </si>
  <si>
    <t>RAGIL ANGGINO</t>
  </si>
  <si>
    <t>ZAHRA MAULANA</t>
  </si>
  <si>
    <t>ELSA APRILIA</t>
  </si>
  <si>
    <t>MUHAMMAD AJIS UMAR</t>
  </si>
  <si>
    <t>88,5</t>
  </si>
  <si>
    <t>89,5</t>
  </si>
  <si>
    <t>ALVIA NURSIFA</t>
  </si>
  <si>
    <t>ZAHRANI PUTRI HUMAIRA</t>
  </si>
  <si>
    <t>MULIA PAMBUDI DIVANSYAH GAFFANG</t>
  </si>
  <si>
    <t>NUR ZAKIA</t>
  </si>
  <si>
    <t>MUHAMMAD ZULFIQAR</t>
  </si>
  <si>
    <t>MUHAMMAD AL QADRI</t>
  </si>
  <si>
    <t>DEA ASTUTI</t>
  </si>
  <si>
    <t>NUR RIZQI ARIFANI HAFID</t>
  </si>
  <si>
    <t>MUHAMMAD TAUFIQ</t>
  </si>
  <si>
    <t>MUHAMMAD ALIM HIDAYATULLAH</t>
  </si>
  <si>
    <t>RESKY SUCI RAMADANI</t>
  </si>
  <si>
    <t>HAZANY MUFID</t>
  </si>
  <si>
    <t>NISA ULHAMIDA</t>
  </si>
  <si>
    <t>ALFINA</t>
  </si>
  <si>
    <t>ALIF PUTRA PRATAMA</t>
  </si>
  <si>
    <t>ARNUM SARTICA</t>
  </si>
  <si>
    <t>MUH. ANDHIKA ICHSAN</t>
  </si>
  <si>
    <t>HENDRYANSYAH</t>
  </si>
  <si>
    <t>BAYU ADITYA KHAIRAN</t>
  </si>
  <si>
    <t>REZA KUSUMA</t>
  </si>
  <si>
    <t>SITI HABIBA</t>
  </si>
  <si>
    <t>ZAHRA SALSABILA ZAKY</t>
  </si>
  <si>
    <t>M. FADIL</t>
  </si>
  <si>
    <t>MUH. RAIHAN ARIEF CAMA</t>
  </si>
  <si>
    <t>MUHAMMAD RAJILMAHASIN RAJAB</t>
  </si>
  <si>
    <t>MUTTIARA SARIANTI</t>
  </si>
  <si>
    <t>NADIA SYIFA</t>
  </si>
  <si>
    <t>NURHAKIKI</t>
  </si>
  <si>
    <t>SAHRAN</t>
  </si>
  <si>
    <t>MUHAMMAD FAYYAD YULIANTO</t>
  </si>
  <si>
    <t>MUH. ALIEF RAMADHAN</t>
  </si>
  <si>
    <t>AHMAD JIBRIL ALQORNI</t>
  </si>
  <si>
    <t>ALIF BAHTIAR</t>
  </si>
  <si>
    <t>FEBRIAN</t>
  </si>
  <si>
    <t>MUHAMMAD YASIN</t>
  </si>
  <si>
    <t>MUHAMMAD FATHUR RIZQY</t>
  </si>
  <si>
    <t>MUHAMMAD FADEL RAFI</t>
  </si>
  <si>
    <t>FAUZAN RADITYA ALI</t>
  </si>
  <si>
    <t>AHMAD AMAR MA'RUF AR ROSYID JUMADDANG</t>
  </si>
  <si>
    <t>FACHRI RAMADHAN. A</t>
  </si>
  <si>
    <t>FIFI MULIANI</t>
  </si>
  <si>
    <t>MUHAMMAD RAIHAN ANDI JUHAMRAN</t>
  </si>
  <si>
    <t>KURNIATI</t>
  </si>
  <si>
    <t>MUFIDA ANINDIA PUTRI</t>
  </si>
  <si>
    <t>MUHAMMAD SALMAN</t>
  </si>
  <si>
    <t>RIZADLY SYAHRAZZY</t>
  </si>
  <si>
    <t>FAIZ ABDUL AZIZ</t>
  </si>
  <si>
    <t>MUHAMMAD FADHIL SAHARUDDIN</t>
  </si>
  <si>
    <t>RESMI MULIANA</t>
  </si>
  <si>
    <t>AZKA ALJIBRA ANDI RIDWAN</t>
  </si>
  <si>
    <t>AHMAD ZUHRI AL JAUZI</t>
  </si>
  <si>
    <t>MUHAMMAD REZHA NIZAR</t>
  </si>
  <si>
    <t>MARIFATULLAH MUSDA</t>
  </si>
  <si>
    <t>MUH. AHNAF FAIZUL ANWAR</t>
  </si>
  <si>
    <t>MUH. FIRDAUS SHAFAR</t>
  </si>
  <si>
    <t>NUR FADHILLAH RAJAB</t>
  </si>
  <si>
    <t>RAHMAWATI</t>
  </si>
  <si>
    <t>MUH. RASYA ASHABUL KAHFI</t>
  </si>
  <si>
    <t>KHALIL AHMAD</t>
  </si>
  <si>
    <t>KHAERIL AKRAM</t>
  </si>
  <si>
    <t>MUH. ILHAM AR.</t>
  </si>
  <si>
    <t>ANDI MUH. RIZALDI</t>
  </si>
  <si>
    <t>AFIFAH AYLA NURULIZZAH</t>
  </si>
  <si>
    <t>MUTMAINNAH</t>
  </si>
  <si>
    <t>ZALZABILA AMANDA PUTRI</t>
  </si>
  <si>
    <t>ASWANDA ZAHRAN</t>
  </si>
  <si>
    <t>ANDI MUH. RIF'AT HILMI RUSLI</t>
  </si>
  <si>
    <t>ARFA HASRIL</t>
  </si>
  <si>
    <t>ACHMAD MUQSITH AKRAM</t>
  </si>
  <si>
    <t>NURHAFIZAH AULIYAH</t>
  </si>
  <si>
    <t>ANDI DINUL</t>
  </si>
  <si>
    <t>MUTIA ANGGRIANI</t>
  </si>
  <si>
    <t>SITI LIRIH SALSABILA</t>
  </si>
  <si>
    <t>ANDI AL MAARIJ ILHAM</t>
  </si>
  <si>
    <t>MUH. BAHRUL ISMAIL</t>
  </si>
  <si>
    <t>IRSYA HASANAH</t>
  </si>
  <si>
    <t>NURUL AZIZAH</t>
  </si>
  <si>
    <t>ULFIA TUNNIZA</t>
  </si>
  <si>
    <t>MUH. FATURRAHMAN S</t>
  </si>
  <si>
    <t>NURCHOLIS FIRDAUS MUSLIMIN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</si>
</sst>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7"/>
      <color theme="1"/>
      <name val="Calibri"/>
    </font>
    <font>
      <b/>
      <sz val="15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sz val="10"/>
      <name val="Arial"/>
    </font>
    <font>
      <b/>
      <sz val="8"/>
      <color theme="1"/>
      <name val="Calibri"/>
    </font>
    <font>
      <sz val="10"/>
      <color theme="0"/>
      <name val="Arial"/>
      <scheme val="minor"/>
    </font>
    <font>
      <sz val="10"/>
      <color rgb="FF000000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B45F06"/>
        <bgColor rgb="FFB45F06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2" fillId="0" borderId="1" xfId="0" applyFont="1" applyBorder="1"/>
    <xf numFmtId="9" fontId="2" fillId="0" borderId="1" xfId="0" applyNumberFormat="1" applyFont="1" applyBorder="1"/>
    <xf numFmtId="0" fontId="4" fillId="0" borderId="0" xfId="0" applyFont="1"/>
    <xf numFmtId="0" fontId="4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9" fillId="13" borderId="0" xfId="0" applyFont="1" applyFill="1"/>
    <xf numFmtId="0" fontId="10" fillId="3" borderId="1" xfId="0" applyFont="1" applyFill="1" applyBorder="1" applyAlignment="1">
      <alignment horizontal="right"/>
    </xf>
    <xf numFmtId="0" fontId="6" fillId="12" borderId="1" xfId="0" applyFont="1" applyFill="1" applyBorder="1" applyAlignment="1">
      <alignment horizontal="center" vertical="center" wrapText="1"/>
    </xf>
    <xf numFmtId="0" fontId="10" fillId="3" borderId="5" xfId="0" applyFont="1" applyFill="1" applyBorder="1"/>
    <xf numFmtId="0" fontId="11" fillId="3" borderId="8" xfId="0" applyFont="1" applyFill="1" applyBorder="1" applyAlignment="1">
      <alignment horizontal="center"/>
    </xf>
    <xf numFmtId="0" fontId="12" fillId="0" borderId="0" xfId="0" applyFont="1"/>
    <xf numFmtId="0" fontId="12" fillId="14" borderId="0" xfId="0" applyFont="1" applyFill="1"/>
    <xf numFmtId="0" fontId="10" fillId="3" borderId="7" xfId="0" applyFont="1" applyFill="1" applyBorder="1" applyAlignment="1">
      <alignment horizontal="right"/>
    </xf>
    <xf numFmtId="0" fontId="6" fillId="4" borderId="8" xfId="0" applyFont="1" applyFill="1" applyBorder="1" applyAlignment="1">
      <alignment horizontal="center"/>
    </xf>
    <xf numFmtId="0" fontId="11" fillId="15" borderId="8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3" fillId="10" borderId="7" xfId="0" applyFont="1" applyFill="1" applyBorder="1" applyAlignment="1">
      <alignment horizontal="right"/>
    </xf>
    <xf numFmtId="1" fontId="6" fillId="5" borderId="7" xfId="0" applyNumberFormat="1" applyFont="1" applyFill="1" applyBorder="1" applyAlignment="1">
      <alignment horizontal="center" vertical="center"/>
    </xf>
    <xf numFmtId="0" fontId="11" fillId="15" borderId="7" xfId="0" applyFont="1" applyFill="1" applyBorder="1" applyAlignment="1">
      <alignment horizontal="center"/>
    </xf>
    <xf numFmtId="1" fontId="6" fillId="6" borderId="8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right"/>
    </xf>
    <xf numFmtId="1" fontId="6" fillId="7" borderId="8" xfId="0" applyNumberFormat="1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1" fontId="6" fillId="9" borderId="8" xfId="0" applyNumberFormat="1" applyFont="1" applyFill="1" applyBorder="1" applyAlignment="1">
      <alignment horizontal="center"/>
    </xf>
    <xf numFmtId="1" fontId="6" fillId="10" borderId="1" xfId="0" applyNumberFormat="1" applyFont="1" applyFill="1" applyBorder="1" applyAlignment="1">
      <alignment horizontal="center"/>
    </xf>
    <xf numFmtId="0" fontId="10" fillId="3" borderId="8" xfId="0" applyFont="1" applyFill="1" applyBorder="1"/>
    <xf numFmtId="1" fontId="6" fillId="11" borderId="1" xfId="0" applyNumberFormat="1" applyFont="1" applyFill="1" applyBorder="1" applyAlignment="1">
      <alignment horizontal="center"/>
    </xf>
    <xf numFmtId="1" fontId="6" fillId="12" borderId="1" xfId="0" applyNumberFormat="1" applyFont="1" applyFill="1" applyBorder="1" applyAlignment="1">
      <alignment horizontal="center"/>
    </xf>
    <xf numFmtId="0" fontId="10" fillId="10" borderId="1" xfId="0" applyFont="1" applyFill="1" applyBorder="1" applyAlignment="1">
      <alignment horizontal="right"/>
    </xf>
    <xf numFmtId="0" fontId="10" fillId="10" borderId="7" xfId="0" applyFont="1" applyFill="1" applyBorder="1" applyAlignment="1">
      <alignment horizontal="right"/>
    </xf>
    <xf numFmtId="0" fontId="10" fillId="3" borderId="1" xfId="0" applyFont="1" applyFill="1" applyBorder="1"/>
    <xf numFmtId="1" fontId="11" fillId="15" borderId="8" xfId="0" applyNumberFormat="1" applyFont="1" applyFill="1" applyBorder="1" applyAlignment="1">
      <alignment horizontal="center"/>
    </xf>
    <xf numFmtId="0" fontId="10" fillId="3" borderId="7" xfId="0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6" fillId="9" borderId="6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6" fillId="12" borderId="3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6" fillId="10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7" xfId="0" applyFont="1" applyBorder="1"/>
    <xf numFmtId="0" fontId="6" fillId="0" borderId="3" xfId="0" applyFont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sqref="A1:B6"/>
    </sheetView>
  </sheetViews>
  <sheetFormatPr defaultColWidth="12.6640625" defaultRowHeight="15.75" customHeight="1" x14ac:dyDescent="0.25"/>
  <cols>
    <col min="1" max="1" width="42.21875" customWidth="1"/>
  </cols>
  <sheetData>
    <row r="1" spans="1:2" ht="15.75" customHeight="1" x14ac:dyDescent="0.4">
      <c r="A1" s="42" t="s">
        <v>1</v>
      </c>
      <c r="B1" s="43"/>
    </row>
    <row r="2" spans="1:2" ht="15.75" customHeight="1" x14ac:dyDescent="0.4">
      <c r="A2" s="2" t="s">
        <v>4</v>
      </c>
      <c r="B2" s="3">
        <v>0.2</v>
      </c>
    </row>
    <row r="3" spans="1:2" ht="15.75" customHeight="1" x14ac:dyDescent="0.4">
      <c r="A3" s="2" t="s">
        <v>5</v>
      </c>
      <c r="B3" s="3">
        <v>0.3</v>
      </c>
    </row>
    <row r="4" spans="1:2" ht="15.75" customHeight="1" x14ac:dyDescent="0.4">
      <c r="A4" s="2" t="s">
        <v>6</v>
      </c>
      <c r="B4" s="3">
        <v>0.1</v>
      </c>
    </row>
    <row r="5" spans="1:2" ht="15.75" customHeight="1" x14ac:dyDescent="0.4">
      <c r="A5" s="2" t="s">
        <v>7</v>
      </c>
      <c r="B5" s="3">
        <v>0.3</v>
      </c>
    </row>
    <row r="6" spans="1:2" ht="15.75" customHeight="1" x14ac:dyDescent="0.4">
      <c r="A6" s="2" t="s">
        <v>8</v>
      </c>
      <c r="B6" s="3">
        <v>0.1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H40"/>
  <sheetViews>
    <sheetView topLeftCell="A19" workbookViewId="0">
      <pane xSplit="2" topLeftCell="AB1" activePane="topRight" state="frozen"/>
      <selection pane="topRight" activeCell="BH16" sqref="BH16"/>
    </sheetView>
  </sheetViews>
  <sheetFormatPr defaultColWidth="12.6640625" defaultRowHeight="15.75" customHeight="1" x14ac:dyDescent="0.25"/>
  <cols>
    <col min="1" max="1" width="12" bestFit="1" customWidth="1"/>
    <col min="2" max="2" width="39.44140625" bestFit="1" customWidth="1"/>
    <col min="3" max="11" width="2" bestFit="1" customWidth="1"/>
    <col min="12" max="12" width="3" bestFit="1" customWidth="1"/>
    <col min="13" max="13" width="9.88671875" bestFit="1" customWidth="1"/>
    <col min="14" max="16" width="2" bestFit="1" customWidth="1"/>
    <col min="17" max="17" width="4" bestFit="1" customWidth="1"/>
    <col min="18" max="21" width="2" bestFit="1" customWidth="1"/>
    <col min="22" max="23" width="4" bestFit="1" customWidth="1"/>
    <col min="24" max="24" width="9.44140625" bestFit="1" customWidth="1"/>
    <col min="25" max="32" width="4" bestFit="1" customWidth="1"/>
    <col min="33" max="33" width="6.77734375" bestFit="1" customWidth="1"/>
    <col min="34" max="41" width="5" bestFit="1" customWidth="1"/>
    <col min="42" max="42" width="11.109375" bestFit="1" customWidth="1"/>
    <col min="43" max="43" width="8.109375" bestFit="1" customWidth="1"/>
    <col min="44" max="44" width="8.6640625" bestFit="1" customWidth="1"/>
    <col min="45" max="60" width="3" bestFit="1" customWidth="1"/>
  </cols>
  <sheetData>
    <row r="1" spans="1:60" ht="15.75" customHeight="1" x14ac:dyDescent="0.3">
      <c r="A1" s="50" t="s">
        <v>3</v>
      </c>
      <c r="B1" s="43"/>
      <c r="C1" s="1"/>
      <c r="D1" s="1"/>
      <c r="E1" s="1"/>
      <c r="F1" s="1"/>
      <c r="G1" s="1"/>
      <c r="H1" s="1"/>
      <c r="I1" s="1"/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5"/>
      <c r="AH1" s="6"/>
      <c r="AI1" s="6"/>
      <c r="AJ1" s="7"/>
      <c r="AK1" s="7"/>
      <c r="AL1" s="7"/>
      <c r="AM1" s="7"/>
      <c r="AN1" s="7"/>
      <c r="AO1" s="7"/>
      <c r="AP1" s="5"/>
      <c r="AQ1" s="5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5.75" customHeight="1" x14ac:dyDescent="0.3">
      <c r="A2" s="43"/>
      <c r="B2" s="43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5"/>
      <c r="AH2" s="8"/>
      <c r="AI2" s="8"/>
      <c r="AJ2" s="1"/>
      <c r="AK2" s="1"/>
      <c r="AL2" s="1"/>
      <c r="AM2" s="1"/>
      <c r="AN2" s="1"/>
      <c r="AO2" s="1"/>
      <c r="AP2" s="5"/>
      <c r="AQ2" s="5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ht="15.75" customHeight="1" x14ac:dyDescent="0.3">
      <c r="A3" s="43"/>
      <c r="B3" s="43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5"/>
      <c r="AH3" s="8"/>
      <c r="AI3" s="8"/>
      <c r="AJ3" s="1"/>
      <c r="AK3" s="1"/>
      <c r="AL3" s="1"/>
      <c r="AM3" s="1"/>
      <c r="AN3" s="1"/>
      <c r="AO3" s="1"/>
      <c r="AP3" s="5"/>
      <c r="AQ3" s="5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spans="1:60" ht="15.75" customHeight="1" x14ac:dyDescent="0.3">
      <c r="A4" s="43"/>
      <c r="B4" s="43"/>
      <c r="C4" s="1"/>
      <c r="D4" s="1"/>
      <c r="E4" s="1"/>
      <c r="F4" s="1"/>
      <c r="G4" s="1"/>
      <c r="H4" s="1"/>
      <c r="I4" s="1"/>
      <c r="J4" s="1"/>
      <c r="K4" s="1"/>
      <c r="L4" s="1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5"/>
      <c r="AH4" s="8"/>
      <c r="AI4" s="8"/>
      <c r="AJ4" s="1"/>
      <c r="AK4" s="1"/>
      <c r="AL4" s="1"/>
      <c r="AM4" s="1"/>
      <c r="AN4" s="1"/>
      <c r="AO4" s="1"/>
      <c r="AP4" s="5"/>
      <c r="AQ4" s="5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ht="15.75" customHeight="1" x14ac:dyDescent="0.3">
      <c r="A5" s="51" t="s">
        <v>9</v>
      </c>
      <c r="B5" s="51" t="s">
        <v>10</v>
      </c>
      <c r="C5" s="53" t="s">
        <v>8</v>
      </c>
      <c r="D5" s="47"/>
      <c r="E5" s="47"/>
      <c r="F5" s="47"/>
      <c r="G5" s="47"/>
      <c r="H5" s="47"/>
      <c r="I5" s="47"/>
      <c r="J5" s="47"/>
      <c r="K5" s="47"/>
      <c r="L5" s="48"/>
      <c r="M5" s="54" t="s">
        <v>11</v>
      </c>
      <c r="N5" s="53" t="s">
        <v>6</v>
      </c>
      <c r="O5" s="47"/>
      <c r="P5" s="47"/>
      <c r="Q5" s="47"/>
      <c r="R5" s="47"/>
      <c r="S5" s="47"/>
      <c r="T5" s="47"/>
      <c r="U5" s="47"/>
      <c r="V5" s="47"/>
      <c r="W5" s="48"/>
      <c r="X5" s="55" t="s">
        <v>12</v>
      </c>
      <c r="Y5" s="53" t="s">
        <v>13</v>
      </c>
      <c r="Z5" s="47"/>
      <c r="AA5" s="47"/>
      <c r="AB5" s="47"/>
      <c r="AC5" s="47"/>
      <c r="AD5" s="47"/>
      <c r="AE5" s="47"/>
      <c r="AF5" s="48"/>
      <c r="AG5" s="56" t="s">
        <v>14</v>
      </c>
      <c r="AH5" s="53" t="s">
        <v>5</v>
      </c>
      <c r="AI5" s="47"/>
      <c r="AJ5" s="47"/>
      <c r="AK5" s="47"/>
      <c r="AL5" s="47"/>
      <c r="AM5" s="47"/>
      <c r="AN5" s="47"/>
      <c r="AO5" s="48"/>
      <c r="AP5" s="57" t="s">
        <v>15</v>
      </c>
      <c r="AQ5" s="58" t="s">
        <v>16</v>
      </c>
      <c r="AR5" s="44" t="s">
        <v>17</v>
      </c>
      <c r="AS5" s="46" t="s">
        <v>18</v>
      </c>
      <c r="AT5" s="47"/>
      <c r="AU5" s="47"/>
      <c r="AV5" s="47"/>
      <c r="AW5" s="47"/>
      <c r="AX5" s="47"/>
      <c r="AY5" s="47"/>
      <c r="AZ5" s="48"/>
      <c r="BA5" s="49" t="s">
        <v>19</v>
      </c>
      <c r="BB5" s="47"/>
      <c r="BC5" s="47"/>
      <c r="BD5" s="47"/>
      <c r="BE5" s="47"/>
      <c r="BF5" s="47"/>
      <c r="BG5" s="47"/>
      <c r="BH5" s="48"/>
    </row>
    <row r="6" spans="1:60" ht="15.75" customHeight="1" x14ac:dyDescent="0.3">
      <c r="A6" s="52"/>
      <c r="B6" s="52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52"/>
      <c r="N6" s="9">
        <v>1</v>
      </c>
      <c r="O6" s="10">
        <v>2</v>
      </c>
      <c r="P6" s="10">
        <v>3</v>
      </c>
      <c r="Q6" s="10">
        <v>4</v>
      </c>
      <c r="R6" s="10">
        <v>5</v>
      </c>
      <c r="S6" s="10">
        <v>6</v>
      </c>
      <c r="T6" s="10">
        <v>7</v>
      </c>
      <c r="U6" s="10">
        <v>8</v>
      </c>
      <c r="V6" s="10">
        <v>9</v>
      </c>
      <c r="W6" s="10">
        <v>10</v>
      </c>
      <c r="X6" s="52"/>
      <c r="Y6" s="9">
        <v>1</v>
      </c>
      <c r="Z6" s="10">
        <v>2</v>
      </c>
      <c r="AA6" s="10">
        <v>3</v>
      </c>
      <c r="AB6" s="10">
        <v>4</v>
      </c>
      <c r="AC6" s="10">
        <v>5</v>
      </c>
      <c r="AD6" s="10">
        <v>6</v>
      </c>
      <c r="AE6" s="10">
        <v>7</v>
      </c>
      <c r="AF6" s="10">
        <v>8</v>
      </c>
      <c r="AG6" s="45"/>
      <c r="AH6" s="9">
        <v>1</v>
      </c>
      <c r="AI6" s="10">
        <v>2</v>
      </c>
      <c r="AJ6" s="10">
        <v>3</v>
      </c>
      <c r="AK6" s="10">
        <v>4</v>
      </c>
      <c r="AL6" s="10">
        <v>5</v>
      </c>
      <c r="AM6" s="10">
        <v>6</v>
      </c>
      <c r="AN6" s="10">
        <v>7</v>
      </c>
      <c r="AO6" s="10">
        <v>8</v>
      </c>
      <c r="AP6" s="45"/>
      <c r="AQ6" s="45"/>
      <c r="AR6" s="45"/>
      <c r="AS6" s="15">
        <v>1</v>
      </c>
      <c r="AT6" s="15">
        <v>2</v>
      </c>
      <c r="AU6" s="15">
        <v>3</v>
      </c>
      <c r="AV6" s="15">
        <v>4</v>
      </c>
      <c r="AW6" s="15">
        <v>5</v>
      </c>
      <c r="AX6" s="15">
        <v>6</v>
      </c>
      <c r="AY6" s="15">
        <v>7</v>
      </c>
      <c r="AZ6" s="15">
        <v>8</v>
      </c>
      <c r="BA6" s="11">
        <v>1</v>
      </c>
      <c r="BB6" s="11">
        <v>2</v>
      </c>
      <c r="BC6" s="11">
        <v>3</v>
      </c>
      <c r="BD6" s="11">
        <v>4</v>
      </c>
      <c r="BE6" s="11">
        <v>5</v>
      </c>
      <c r="BF6" s="11">
        <v>6</v>
      </c>
      <c r="BG6" s="11">
        <v>7</v>
      </c>
      <c r="BH6" s="11">
        <v>8</v>
      </c>
    </row>
    <row r="7" spans="1:60" ht="15.75" customHeight="1" x14ac:dyDescent="0.3">
      <c r="A7" s="14">
        <v>60200125002</v>
      </c>
      <c r="B7" s="16" t="s">
        <v>25</v>
      </c>
      <c r="C7" s="17"/>
      <c r="D7" s="17">
        <v>1</v>
      </c>
      <c r="E7" s="17">
        <v>1</v>
      </c>
      <c r="F7" s="17">
        <f t="shared" ref="F7:J7" si="0">IF(AA7&gt;0,1,0)</f>
        <v>0</v>
      </c>
      <c r="G7" s="17">
        <f t="shared" si="0"/>
        <v>0</v>
      </c>
      <c r="H7" s="17">
        <f t="shared" si="0"/>
        <v>0</v>
      </c>
      <c r="I7" s="17">
        <f t="shared" si="0"/>
        <v>1</v>
      </c>
      <c r="J7" s="17">
        <f t="shared" si="0"/>
        <v>0</v>
      </c>
      <c r="K7" s="17"/>
      <c r="L7" s="17"/>
      <c r="M7" s="21">
        <f t="shared" ref="M7:M40" si="1">SUM(C7:L7)*10</f>
        <v>30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6">
        <f t="shared" ref="X7:X40" si="2">SUM(N7:W7)/10</f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100</v>
      </c>
      <c r="AE7" s="27">
        <v>0</v>
      </c>
      <c r="AF7" s="27">
        <v>0</v>
      </c>
      <c r="AG7" s="28">
        <f t="shared" ref="AG7:AG40" si="3">SUM(Y7:AF7)/7</f>
        <v>14.285714285714286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30">
        <f t="shared" ref="AP7:AP40" si="4">SUM(AH7:AO7)/7</f>
        <v>0</v>
      </c>
      <c r="AQ7" s="31">
        <f>IFERROR(VLOOKUP(A7, PENILAIAN_UAS!A2:B111, 2, FALSE), "NULL")</f>
        <v>0</v>
      </c>
      <c r="AR7" s="32">
        <f>(Kontrak!$B$6*M7)+(Kontrak!$B$4*X7)+(Kontrak!$B$2*AG7)+(Kontrak!$B$3*AP7)+(Kontrak!$B$5*AQ7)</f>
        <v>5.8571428571428577</v>
      </c>
      <c r="AS7" s="36"/>
      <c r="AT7" s="36"/>
      <c r="AU7" s="36"/>
      <c r="AV7" s="36"/>
      <c r="AW7" s="36"/>
      <c r="AX7" s="36"/>
      <c r="AY7" s="36"/>
      <c r="AZ7" s="36"/>
      <c r="BA7" s="33"/>
      <c r="BB7" s="33"/>
      <c r="BC7" s="33"/>
      <c r="BD7" s="33"/>
      <c r="BE7" s="33"/>
      <c r="BF7" s="33"/>
      <c r="BG7" s="33"/>
      <c r="BH7" s="33"/>
    </row>
    <row r="8" spans="1:60" ht="15.75" customHeight="1" x14ac:dyDescent="0.3">
      <c r="A8" s="20">
        <v>60200125008</v>
      </c>
      <c r="B8" s="34" t="s">
        <v>31</v>
      </c>
      <c r="C8" s="17"/>
      <c r="D8" s="17">
        <v>1</v>
      </c>
      <c r="E8" s="17">
        <v>1</v>
      </c>
      <c r="F8" s="17">
        <f t="shared" ref="F8:J8" si="5">IF(AA8&gt;0,1,0)</f>
        <v>0</v>
      </c>
      <c r="G8" s="17">
        <f t="shared" si="5"/>
        <v>0</v>
      </c>
      <c r="H8" s="17">
        <f t="shared" si="5"/>
        <v>0</v>
      </c>
      <c r="I8" s="17">
        <f t="shared" si="5"/>
        <v>1</v>
      </c>
      <c r="J8" s="17">
        <f t="shared" si="5"/>
        <v>0</v>
      </c>
      <c r="K8" s="17"/>
      <c r="L8" s="17"/>
      <c r="M8" s="21">
        <f t="shared" si="1"/>
        <v>30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6">
        <f t="shared" si="2"/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100</v>
      </c>
      <c r="AE8" s="27">
        <v>0</v>
      </c>
      <c r="AF8" s="27">
        <v>0</v>
      </c>
      <c r="AG8" s="28">
        <f t="shared" si="3"/>
        <v>14.285714285714286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30">
        <f t="shared" si="4"/>
        <v>0</v>
      </c>
      <c r="AQ8" s="31">
        <f>IFERROR(VLOOKUP(A8, PENILAIAN_UAS!A3:B112, 2, FALSE), "NULL")</f>
        <v>0</v>
      </c>
      <c r="AR8" s="32">
        <f>(Kontrak!$B$6*M8)+(Kontrak!$B$4*X8)+(Kontrak!$B$2*AG8)+(Kontrak!$B$3*AP8)+(Kontrak!$B$5*AQ8)</f>
        <v>5.8571428571428577</v>
      </c>
      <c r="AS8" s="36"/>
      <c r="AT8" s="36"/>
      <c r="AU8" s="36"/>
      <c r="AV8" s="36"/>
      <c r="AW8" s="36"/>
      <c r="AX8" s="36"/>
      <c r="AY8" s="36"/>
      <c r="AZ8" s="36"/>
      <c r="BA8" s="33"/>
      <c r="BB8" s="33"/>
      <c r="BC8" s="33"/>
      <c r="BD8" s="33"/>
      <c r="BE8" s="33"/>
      <c r="BF8" s="33"/>
      <c r="BG8" s="33"/>
      <c r="BH8" s="33"/>
    </row>
    <row r="9" spans="1:60" ht="15.75" customHeight="1" x14ac:dyDescent="0.3">
      <c r="A9" s="14">
        <v>60200125009</v>
      </c>
      <c r="B9" s="39" t="s">
        <v>34</v>
      </c>
      <c r="C9" s="17">
        <v>1</v>
      </c>
      <c r="D9" s="17">
        <v>1</v>
      </c>
      <c r="E9" s="17">
        <v>1</v>
      </c>
      <c r="F9" s="17">
        <f t="shared" ref="F9:J9" si="6">IF(AA9&gt;0,1,0)</f>
        <v>1</v>
      </c>
      <c r="G9" s="17">
        <f t="shared" si="6"/>
        <v>1</v>
      </c>
      <c r="H9" s="17">
        <f t="shared" si="6"/>
        <v>1</v>
      </c>
      <c r="I9" s="17">
        <f t="shared" si="6"/>
        <v>1</v>
      </c>
      <c r="J9" s="17">
        <f t="shared" si="6"/>
        <v>1</v>
      </c>
      <c r="K9" s="17"/>
      <c r="L9" s="17"/>
      <c r="M9" s="21">
        <f t="shared" si="1"/>
        <v>80</v>
      </c>
      <c r="N9" s="22">
        <v>0</v>
      </c>
      <c r="O9" s="22">
        <v>0</v>
      </c>
      <c r="P9" s="22">
        <v>0</v>
      </c>
      <c r="Q9" s="22">
        <v>100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100</v>
      </c>
      <c r="X9" s="26">
        <f t="shared" si="2"/>
        <v>20</v>
      </c>
      <c r="Y9" s="27">
        <v>80</v>
      </c>
      <c r="Z9" s="27">
        <v>100</v>
      </c>
      <c r="AA9" s="27">
        <v>83</v>
      </c>
      <c r="AB9" s="27">
        <v>85</v>
      </c>
      <c r="AC9" s="27">
        <v>86</v>
      </c>
      <c r="AD9" s="27">
        <v>100</v>
      </c>
      <c r="AE9" s="27">
        <v>86</v>
      </c>
      <c r="AF9" s="27">
        <v>87</v>
      </c>
      <c r="AG9" s="28">
        <f t="shared" si="3"/>
        <v>101</v>
      </c>
      <c r="AH9" s="22">
        <f t="shared" ref="AH9:AH17" si="7">(AS9+BA9)/2</f>
        <v>90</v>
      </c>
      <c r="AI9" s="22">
        <v>80</v>
      </c>
      <c r="AJ9" s="22">
        <f t="shared" ref="AJ9:AO9" si="8">(AU9+BC9)/2</f>
        <v>85.5</v>
      </c>
      <c r="AK9" s="22">
        <f t="shared" si="8"/>
        <v>43</v>
      </c>
      <c r="AL9" s="22">
        <f t="shared" si="8"/>
        <v>42.5</v>
      </c>
      <c r="AM9" s="22">
        <f t="shared" si="8"/>
        <v>42.5</v>
      </c>
      <c r="AN9" s="22">
        <f t="shared" si="8"/>
        <v>42.5</v>
      </c>
      <c r="AO9" s="22">
        <f t="shared" si="8"/>
        <v>43</v>
      </c>
      <c r="AP9" s="30">
        <f t="shared" si="4"/>
        <v>67</v>
      </c>
      <c r="AQ9" s="31">
        <f>IFERROR(VLOOKUP(A9, PENILAIAN_UAS!A4:B113, 2, FALSE), "NULL")</f>
        <v>84</v>
      </c>
      <c r="AR9" s="32">
        <v>80</v>
      </c>
      <c r="AS9" s="36">
        <v>89</v>
      </c>
      <c r="AT9" s="36">
        <v>84</v>
      </c>
      <c r="AU9" s="36">
        <v>80</v>
      </c>
      <c r="AV9" s="36">
        <v>86</v>
      </c>
      <c r="AW9" s="36">
        <v>85</v>
      </c>
      <c r="AX9" s="36">
        <v>85</v>
      </c>
      <c r="AY9" s="36">
        <v>85</v>
      </c>
      <c r="AZ9" s="36">
        <v>86</v>
      </c>
      <c r="BA9" s="33">
        <v>91</v>
      </c>
      <c r="BB9" s="33">
        <v>91</v>
      </c>
      <c r="BC9" s="33">
        <v>91</v>
      </c>
      <c r="BD9" s="33"/>
      <c r="BE9" s="33"/>
      <c r="BF9" s="33"/>
      <c r="BG9" s="33"/>
      <c r="BH9" s="33"/>
    </row>
    <row r="10" spans="1:60" ht="15.75" customHeight="1" x14ac:dyDescent="0.3">
      <c r="A10" s="23">
        <v>60200125019</v>
      </c>
      <c r="B10" s="39" t="s">
        <v>39</v>
      </c>
      <c r="C10" s="17">
        <v>1</v>
      </c>
      <c r="D10" s="17">
        <v>1</v>
      </c>
      <c r="E10" s="17">
        <v>1</v>
      </c>
      <c r="F10" s="17">
        <f t="shared" ref="F10:J10" si="9">IF(AA10&gt;0,1,0)</f>
        <v>1</v>
      </c>
      <c r="G10" s="17">
        <f t="shared" si="9"/>
        <v>1</v>
      </c>
      <c r="H10" s="17">
        <f t="shared" si="9"/>
        <v>1</v>
      </c>
      <c r="I10" s="17">
        <f t="shared" si="9"/>
        <v>1</v>
      </c>
      <c r="J10" s="17">
        <f t="shared" si="9"/>
        <v>1</v>
      </c>
      <c r="K10" s="17"/>
      <c r="L10" s="17"/>
      <c r="M10" s="21">
        <f t="shared" si="1"/>
        <v>80</v>
      </c>
      <c r="N10" s="22">
        <v>0</v>
      </c>
      <c r="O10" s="22">
        <v>0</v>
      </c>
      <c r="P10" s="22">
        <v>0</v>
      </c>
      <c r="Q10" s="22">
        <v>90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100</v>
      </c>
      <c r="X10" s="26">
        <f t="shared" si="2"/>
        <v>19</v>
      </c>
      <c r="Y10" s="27">
        <v>80</v>
      </c>
      <c r="Z10" s="18">
        <v>100</v>
      </c>
      <c r="AA10" s="27">
        <v>83</v>
      </c>
      <c r="AB10" s="27">
        <v>100</v>
      </c>
      <c r="AC10" s="27">
        <v>86</v>
      </c>
      <c r="AD10" s="27">
        <v>100</v>
      </c>
      <c r="AE10" s="27">
        <v>87</v>
      </c>
      <c r="AF10" s="27">
        <v>100</v>
      </c>
      <c r="AG10" s="28">
        <f t="shared" si="3"/>
        <v>105.14285714285714</v>
      </c>
      <c r="AH10" s="22">
        <f t="shared" si="7"/>
        <v>88</v>
      </c>
      <c r="AI10" s="27">
        <v>87</v>
      </c>
      <c r="AJ10" s="22">
        <f t="shared" ref="AJ10:AO10" si="10">(AU10+BC10)/2</f>
        <v>90</v>
      </c>
      <c r="AK10" s="22">
        <f t="shared" si="10"/>
        <v>88.5</v>
      </c>
      <c r="AL10" s="22">
        <f t="shared" si="10"/>
        <v>85.5</v>
      </c>
      <c r="AM10" s="22">
        <f t="shared" si="10"/>
        <v>88</v>
      </c>
      <c r="AN10" s="22">
        <f t="shared" si="10"/>
        <v>43</v>
      </c>
      <c r="AO10" s="22">
        <f t="shared" si="10"/>
        <v>41.5</v>
      </c>
      <c r="AP10" s="30">
        <f t="shared" si="4"/>
        <v>87.357142857142861</v>
      </c>
      <c r="AQ10" s="31">
        <f>IFERROR(VLOOKUP(A10, PENILAIAN_UAS!A5:B114, 2, FALSE), "NULL")</f>
        <v>87</v>
      </c>
      <c r="AR10" s="32">
        <f>(Kontrak!$B$6*M10)+(Kontrak!$B$4*X10)+(Kontrak!$B$2*AG10)+(Kontrak!$B$3*AP10)+(Kontrak!$B$5*AQ10)</f>
        <v>83.23571428571428</v>
      </c>
      <c r="AS10" s="36">
        <v>85</v>
      </c>
      <c r="AT10" s="36">
        <v>85</v>
      </c>
      <c r="AU10" s="36">
        <v>89</v>
      </c>
      <c r="AV10" s="36">
        <v>86</v>
      </c>
      <c r="AW10" s="36">
        <v>80</v>
      </c>
      <c r="AX10" s="36">
        <v>85</v>
      </c>
      <c r="AY10" s="36">
        <v>86</v>
      </c>
      <c r="AZ10" s="36">
        <v>83</v>
      </c>
      <c r="BA10" s="33">
        <v>91</v>
      </c>
      <c r="BB10" s="33">
        <v>91</v>
      </c>
      <c r="BC10" s="33">
        <v>91</v>
      </c>
      <c r="BD10" s="33">
        <v>91</v>
      </c>
      <c r="BE10" s="33">
        <v>91</v>
      </c>
      <c r="BF10" s="33">
        <v>91</v>
      </c>
      <c r="BG10" s="33"/>
      <c r="BH10" s="33"/>
    </row>
    <row r="11" spans="1:60" ht="15.75" customHeight="1" x14ac:dyDescent="0.3">
      <c r="A11" s="24">
        <v>60200125020</v>
      </c>
      <c r="B11" s="41" t="s">
        <v>43</v>
      </c>
      <c r="C11" s="17">
        <v>1</v>
      </c>
      <c r="D11" s="17">
        <v>1</v>
      </c>
      <c r="E11" s="17">
        <v>1</v>
      </c>
      <c r="F11" s="17">
        <f t="shared" ref="F11:J11" si="11">IF(AA11&gt;0,1,0)</f>
        <v>1</v>
      </c>
      <c r="G11" s="17">
        <f t="shared" si="11"/>
        <v>1</v>
      </c>
      <c r="H11" s="17">
        <f t="shared" si="11"/>
        <v>1</v>
      </c>
      <c r="I11" s="17">
        <f t="shared" si="11"/>
        <v>1</v>
      </c>
      <c r="J11" s="17">
        <f t="shared" si="11"/>
        <v>1</v>
      </c>
      <c r="K11" s="17"/>
      <c r="L11" s="17"/>
      <c r="M11" s="21">
        <f t="shared" si="1"/>
        <v>80</v>
      </c>
      <c r="N11" s="22">
        <v>0</v>
      </c>
      <c r="O11" s="22">
        <v>0</v>
      </c>
      <c r="P11" s="22">
        <v>0</v>
      </c>
      <c r="Q11" s="22">
        <v>90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100</v>
      </c>
      <c r="X11" s="26">
        <f t="shared" si="2"/>
        <v>19</v>
      </c>
      <c r="Y11" s="27">
        <v>100</v>
      </c>
      <c r="Z11" s="27">
        <v>80</v>
      </c>
      <c r="AA11" s="27">
        <v>100</v>
      </c>
      <c r="AB11" s="27">
        <v>80</v>
      </c>
      <c r="AC11" s="27">
        <v>100</v>
      </c>
      <c r="AD11" s="27">
        <v>100</v>
      </c>
      <c r="AE11" s="27">
        <v>100</v>
      </c>
      <c r="AF11" s="27">
        <v>87</v>
      </c>
      <c r="AG11" s="28">
        <f t="shared" si="3"/>
        <v>106.71428571428571</v>
      </c>
      <c r="AH11" s="22">
        <f t="shared" si="7"/>
        <v>90</v>
      </c>
      <c r="AI11" s="22">
        <f t="shared" ref="AI11:AO11" si="12">(AT11+BB11)/2</f>
        <v>88</v>
      </c>
      <c r="AJ11" s="22">
        <f t="shared" si="12"/>
        <v>89.5</v>
      </c>
      <c r="AK11" s="22">
        <f t="shared" si="12"/>
        <v>88.5</v>
      </c>
      <c r="AL11" s="22">
        <f t="shared" si="12"/>
        <v>88</v>
      </c>
      <c r="AM11" s="22">
        <f t="shared" si="12"/>
        <v>88.5</v>
      </c>
      <c r="AN11" s="22">
        <f t="shared" si="12"/>
        <v>43</v>
      </c>
      <c r="AO11" s="22">
        <f t="shared" si="12"/>
        <v>42.5</v>
      </c>
      <c r="AP11" s="30">
        <f t="shared" si="4"/>
        <v>88.285714285714292</v>
      </c>
      <c r="AQ11" s="31">
        <f>IFERROR(VLOOKUP(A11, PENILAIAN_UAS!A6:B115, 2, FALSE), "NULL")</f>
        <v>89</v>
      </c>
      <c r="AR11" s="32">
        <f>(Kontrak!$B$6*M11)+(Kontrak!$B$4*X11)+(Kontrak!$B$2*AG11)+(Kontrak!$B$3*AP11)+(Kontrak!$B$5*AQ11)</f>
        <v>84.428571428571431</v>
      </c>
      <c r="AS11" s="36">
        <v>89</v>
      </c>
      <c r="AT11" s="36">
        <v>85</v>
      </c>
      <c r="AU11" s="36">
        <v>88</v>
      </c>
      <c r="AV11" s="36">
        <v>86</v>
      </c>
      <c r="AW11" s="36">
        <v>85</v>
      </c>
      <c r="AX11" s="36">
        <v>86</v>
      </c>
      <c r="AY11" s="36">
        <v>86</v>
      </c>
      <c r="AZ11" s="36">
        <v>85</v>
      </c>
      <c r="BA11" s="33">
        <v>91</v>
      </c>
      <c r="BB11" s="33">
        <v>91</v>
      </c>
      <c r="BC11" s="33">
        <v>91</v>
      </c>
      <c r="BD11" s="33">
        <v>91</v>
      </c>
      <c r="BE11" s="33">
        <v>91</v>
      </c>
      <c r="BF11" s="33">
        <v>91</v>
      </c>
      <c r="BG11" s="33"/>
      <c r="BH11" s="33"/>
    </row>
    <row r="12" spans="1:60" ht="15.75" customHeight="1" x14ac:dyDescent="0.3">
      <c r="A12" s="25">
        <v>60200125021</v>
      </c>
      <c r="B12" s="41" t="s">
        <v>46</v>
      </c>
      <c r="C12" s="17">
        <v>1</v>
      </c>
      <c r="D12" s="17">
        <v>1</v>
      </c>
      <c r="E12" s="17">
        <v>1</v>
      </c>
      <c r="F12" s="17">
        <f t="shared" ref="F12:J12" si="13">IF(AA12&gt;0,1,0)</f>
        <v>1</v>
      </c>
      <c r="G12" s="17">
        <f t="shared" si="13"/>
        <v>1</v>
      </c>
      <c r="H12" s="17">
        <f t="shared" si="13"/>
        <v>1</v>
      </c>
      <c r="I12" s="17">
        <f t="shared" si="13"/>
        <v>1</v>
      </c>
      <c r="J12" s="17">
        <f t="shared" si="13"/>
        <v>1</v>
      </c>
      <c r="K12" s="17"/>
      <c r="L12" s="17"/>
      <c r="M12" s="21">
        <f t="shared" si="1"/>
        <v>80</v>
      </c>
      <c r="N12" s="22">
        <v>0</v>
      </c>
      <c r="O12" s="22">
        <v>0</v>
      </c>
      <c r="P12" s="22">
        <v>0</v>
      </c>
      <c r="Q12" s="22">
        <v>90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100</v>
      </c>
      <c r="X12" s="26">
        <f t="shared" si="2"/>
        <v>19</v>
      </c>
      <c r="Y12" s="27">
        <v>85</v>
      </c>
      <c r="Z12" s="18">
        <v>100</v>
      </c>
      <c r="AA12" s="27">
        <v>80</v>
      </c>
      <c r="AB12" s="27">
        <v>100</v>
      </c>
      <c r="AC12" s="27">
        <v>86</v>
      </c>
      <c r="AD12" s="27">
        <v>100</v>
      </c>
      <c r="AE12" s="27">
        <v>87</v>
      </c>
      <c r="AF12" s="27">
        <v>100</v>
      </c>
      <c r="AG12" s="28">
        <f t="shared" si="3"/>
        <v>105.42857142857143</v>
      </c>
      <c r="AH12" s="22">
        <f t="shared" si="7"/>
        <v>90</v>
      </c>
      <c r="AI12" s="27">
        <v>81</v>
      </c>
      <c r="AJ12" s="22">
        <f t="shared" ref="AJ12:AO12" si="14">(AU12+BC12)/2</f>
        <v>90</v>
      </c>
      <c r="AK12" s="22">
        <f t="shared" si="14"/>
        <v>89.5</v>
      </c>
      <c r="AL12" s="22">
        <f t="shared" si="14"/>
        <v>87</v>
      </c>
      <c r="AM12" s="22">
        <f t="shared" si="14"/>
        <v>85.5</v>
      </c>
      <c r="AN12" s="22">
        <f t="shared" si="14"/>
        <v>84.5</v>
      </c>
      <c r="AO12" s="22">
        <f t="shared" si="14"/>
        <v>83.5</v>
      </c>
      <c r="AP12" s="30">
        <f t="shared" si="4"/>
        <v>98.714285714285708</v>
      </c>
      <c r="AQ12" s="31">
        <f>IFERROR(VLOOKUP(A12, PENILAIAN_UAS!A7:B116, 2, FALSE), "NULL")</f>
        <v>84</v>
      </c>
      <c r="AR12" s="32">
        <f>(Kontrak!$B$6*M12)+(Kontrak!$B$4*X12)+(Kontrak!$B$2*AG12)+(Kontrak!$B$3*AP12)+(Kontrak!$B$5*AQ12)</f>
        <v>85.8</v>
      </c>
      <c r="AS12" s="36">
        <v>89</v>
      </c>
      <c r="AT12" s="36"/>
      <c r="AU12" s="36">
        <v>89</v>
      </c>
      <c r="AV12" s="36">
        <v>88</v>
      </c>
      <c r="AW12" s="36">
        <v>83</v>
      </c>
      <c r="AX12" s="36">
        <v>80</v>
      </c>
      <c r="AY12" s="36">
        <v>85</v>
      </c>
      <c r="AZ12" s="36">
        <v>83</v>
      </c>
      <c r="BA12" s="33">
        <v>91</v>
      </c>
      <c r="BB12" s="33">
        <v>91</v>
      </c>
      <c r="BC12" s="33">
        <v>91</v>
      </c>
      <c r="BD12" s="33">
        <v>91</v>
      </c>
      <c r="BE12" s="33">
        <v>91</v>
      </c>
      <c r="BF12" s="33">
        <v>91</v>
      </c>
      <c r="BG12" s="33">
        <v>84</v>
      </c>
      <c r="BH12" s="33">
        <v>84</v>
      </c>
    </row>
    <row r="13" spans="1:60" ht="15.75" customHeight="1" x14ac:dyDescent="0.3">
      <c r="A13" s="25">
        <v>60200125035</v>
      </c>
      <c r="B13" s="34" t="s">
        <v>49</v>
      </c>
      <c r="C13" s="17">
        <v>1</v>
      </c>
      <c r="D13" s="17">
        <v>1</v>
      </c>
      <c r="E13" s="17">
        <v>1</v>
      </c>
      <c r="F13" s="17">
        <f t="shared" ref="F13:J13" si="15">IF(AA13&gt;0,1,0)</f>
        <v>0</v>
      </c>
      <c r="G13" s="17">
        <f t="shared" si="15"/>
        <v>1</v>
      </c>
      <c r="H13" s="17">
        <f t="shared" si="15"/>
        <v>1</v>
      </c>
      <c r="I13" s="17">
        <f t="shared" si="15"/>
        <v>1</v>
      </c>
      <c r="J13" s="17">
        <f t="shared" si="15"/>
        <v>1</v>
      </c>
      <c r="K13" s="17"/>
      <c r="L13" s="17"/>
      <c r="M13" s="21">
        <f t="shared" si="1"/>
        <v>70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100</v>
      </c>
      <c r="X13" s="26">
        <f t="shared" si="2"/>
        <v>10</v>
      </c>
      <c r="Y13" s="27">
        <v>83</v>
      </c>
      <c r="Z13" s="27">
        <v>100</v>
      </c>
      <c r="AA13" s="27">
        <v>0</v>
      </c>
      <c r="AB13" s="27">
        <v>100</v>
      </c>
      <c r="AC13" s="27">
        <v>83</v>
      </c>
      <c r="AD13" s="27">
        <v>100</v>
      </c>
      <c r="AE13" s="27">
        <v>87</v>
      </c>
      <c r="AF13" s="27">
        <v>100</v>
      </c>
      <c r="AG13" s="28">
        <f t="shared" si="3"/>
        <v>93.285714285714292</v>
      </c>
      <c r="AH13" s="22">
        <f t="shared" si="7"/>
        <v>45.5</v>
      </c>
      <c r="AI13" s="22">
        <f t="shared" ref="AI13:AO13" si="16">(AT13+BB13)/2</f>
        <v>85.5</v>
      </c>
      <c r="AJ13" s="22">
        <f t="shared" si="16"/>
        <v>88</v>
      </c>
      <c r="AK13" s="22">
        <f t="shared" si="16"/>
        <v>42</v>
      </c>
      <c r="AL13" s="22">
        <f t="shared" si="16"/>
        <v>42</v>
      </c>
      <c r="AM13" s="22">
        <f t="shared" si="16"/>
        <v>42.5</v>
      </c>
      <c r="AN13" s="22">
        <f t="shared" si="16"/>
        <v>41</v>
      </c>
      <c r="AO13" s="22">
        <f t="shared" si="16"/>
        <v>43</v>
      </c>
      <c r="AP13" s="30">
        <f t="shared" si="4"/>
        <v>61.357142857142854</v>
      </c>
      <c r="AQ13" s="31">
        <f>IFERROR(VLOOKUP(A13, PENILAIAN_UAS!A8:B117, 2, FALSE), "NULL")</f>
        <v>91</v>
      </c>
      <c r="AR13" s="32">
        <v>80</v>
      </c>
      <c r="AS13" s="36"/>
      <c r="AT13" s="36">
        <v>80</v>
      </c>
      <c r="AU13" s="36">
        <v>85</v>
      </c>
      <c r="AV13" s="36">
        <v>84</v>
      </c>
      <c r="AW13" s="36">
        <v>84</v>
      </c>
      <c r="AX13" s="36">
        <v>85</v>
      </c>
      <c r="AY13" s="36">
        <v>82</v>
      </c>
      <c r="AZ13" s="36">
        <v>86</v>
      </c>
      <c r="BA13" s="33">
        <v>91</v>
      </c>
      <c r="BB13" s="33">
        <v>91</v>
      </c>
      <c r="BC13" s="33">
        <v>91</v>
      </c>
      <c r="BD13" s="33"/>
      <c r="BE13" s="33"/>
      <c r="BF13" s="33"/>
      <c r="BG13" s="33"/>
      <c r="BH13" s="33"/>
    </row>
    <row r="14" spans="1:60" ht="15.75" customHeight="1" x14ac:dyDescent="0.3">
      <c r="A14" s="20">
        <v>60200125036</v>
      </c>
      <c r="B14" s="34" t="s">
        <v>54</v>
      </c>
      <c r="C14" s="17">
        <v>1</v>
      </c>
      <c r="D14" s="17">
        <v>1</v>
      </c>
      <c r="E14" s="17">
        <v>1</v>
      </c>
      <c r="F14" s="17">
        <f t="shared" ref="F14:J14" si="17">IF(AA14&gt;0,1,0)</f>
        <v>1</v>
      </c>
      <c r="G14" s="17">
        <f t="shared" si="17"/>
        <v>1</v>
      </c>
      <c r="H14" s="17">
        <f t="shared" si="17"/>
        <v>1</v>
      </c>
      <c r="I14" s="17">
        <f t="shared" si="17"/>
        <v>1</v>
      </c>
      <c r="J14" s="17">
        <f t="shared" si="17"/>
        <v>1</v>
      </c>
      <c r="K14" s="17"/>
      <c r="L14" s="17"/>
      <c r="M14" s="21">
        <f t="shared" si="1"/>
        <v>80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100</v>
      </c>
      <c r="X14" s="26">
        <f t="shared" si="2"/>
        <v>10</v>
      </c>
      <c r="Y14" s="27">
        <v>100</v>
      </c>
      <c r="Z14" s="18">
        <v>80</v>
      </c>
      <c r="AA14" s="27">
        <v>100</v>
      </c>
      <c r="AB14" s="27">
        <v>82</v>
      </c>
      <c r="AC14" s="27">
        <v>100</v>
      </c>
      <c r="AD14" s="27">
        <v>100</v>
      </c>
      <c r="AE14" s="27">
        <v>100</v>
      </c>
      <c r="AF14" s="27">
        <v>87</v>
      </c>
      <c r="AG14" s="28">
        <f t="shared" si="3"/>
        <v>107</v>
      </c>
      <c r="AH14" s="22">
        <f t="shared" si="7"/>
        <v>87</v>
      </c>
      <c r="AI14" s="27">
        <v>83</v>
      </c>
      <c r="AJ14" s="22">
        <f t="shared" ref="AJ14:AO14" si="18">(AU14+BC14)/2</f>
        <v>40</v>
      </c>
      <c r="AK14" s="22">
        <f t="shared" si="18"/>
        <v>41</v>
      </c>
      <c r="AL14" s="22">
        <f t="shared" si="18"/>
        <v>35</v>
      </c>
      <c r="AM14" s="22">
        <f t="shared" si="18"/>
        <v>40</v>
      </c>
      <c r="AN14" s="22">
        <f t="shared" si="18"/>
        <v>41</v>
      </c>
      <c r="AO14" s="22">
        <f t="shared" si="18"/>
        <v>0</v>
      </c>
      <c r="AP14" s="30">
        <f t="shared" si="4"/>
        <v>52.428571428571431</v>
      </c>
      <c r="AQ14" s="31">
        <f>IFERROR(VLOOKUP(A14, PENILAIAN_UAS!A9:B118, 2, FALSE), "NULL")</f>
        <v>0</v>
      </c>
      <c r="AR14" s="32">
        <f>(Kontrak!$B$6*M14)+(Kontrak!$B$4*X14)+(Kontrak!$B$2*AG14)+(Kontrak!$B$3*AP14)+(Kontrak!$B$5*AQ14)</f>
        <v>46.128571428571433</v>
      </c>
      <c r="AS14" s="36">
        <v>83</v>
      </c>
      <c r="AT14" s="36">
        <v>80</v>
      </c>
      <c r="AU14" s="36">
        <v>80</v>
      </c>
      <c r="AV14" s="36">
        <v>82</v>
      </c>
      <c r="AW14" s="36">
        <v>70</v>
      </c>
      <c r="AX14" s="36">
        <v>80</v>
      </c>
      <c r="AY14" s="36">
        <v>82</v>
      </c>
      <c r="AZ14" s="36"/>
      <c r="BA14" s="33">
        <v>91</v>
      </c>
      <c r="BB14" s="33"/>
      <c r="BC14" s="33"/>
      <c r="BD14" s="33"/>
      <c r="BE14" s="33"/>
      <c r="BF14" s="33"/>
      <c r="BG14" s="33"/>
      <c r="BH14" s="33"/>
    </row>
    <row r="15" spans="1:60" ht="15.75" customHeight="1" x14ac:dyDescent="0.3">
      <c r="A15" s="24">
        <v>60200125048</v>
      </c>
      <c r="B15" s="34" t="s">
        <v>57</v>
      </c>
      <c r="C15" s="17">
        <v>1</v>
      </c>
      <c r="D15" s="17">
        <v>1</v>
      </c>
      <c r="E15" s="17">
        <v>1</v>
      </c>
      <c r="F15" s="17">
        <f t="shared" ref="F15:J15" si="19">IF(AA15&gt;0,1,0)</f>
        <v>1</v>
      </c>
      <c r="G15" s="17">
        <f t="shared" si="19"/>
        <v>1</v>
      </c>
      <c r="H15" s="17">
        <f t="shared" si="19"/>
        <v>1</v>
      </c>
      <c r="I15" s="17">
        <f t="shared" si="19"/>
        <v>1</v>
      </c>
      <c r="J15" s="17">
        <f t="shared" si="19"/>
        <v>1</v>
      </c>
      <c r="K15" s="17"/>
      <c r="L15" s="17"/>
      <c r="M15" s="21">
        <f t="shared" si="1"/>
        <v>80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100</v>
      </c>
      <c r="X15" s="26">
        <f t="shared" si="2"/>
        <v>10</v>
      </c>
      <c r="Y15" s="27">
        <v>100</v>
      </c>
      <c r="Z15" s="27">
        <v>0</v>
      </c>
      <c r="AA15" s="27">
        <v>100</v>
      </c>
      <c r="AB15" s="27">
        <v>80</v>
      </c>
      <c r="AC15" s="27">
        <v>100</v>
      </c>
      <c r="AD15" s="27">
        <v>100</v>
      </c>
      <c r="AE15" s="27">
        <v>87</v>
      </c>
      <c r="AF15" s="27">
        <v>87</v>
      </c>
      <c r="AG15" s="28">
        <f t="shared" si="3"/>
        <v>93.428571428571431</v>
      </c>
      <c r="AH15" s="22">
        <f t="shared" si="7"/>
        <v>90</v>
      </c>
      <c r="AI15" s="22">
        <f t="shared" ref="AI15:AO15" si="20">(AT15+BB15)/2</f>
        <v>42.5</v>
      </c>
      <c r="AJ15" s="22">
        <f t="shared" si="20"/>
        <v>42</v>
      </c>
      <c r="AK15" s="22">
        <f t="shared" si="20"/>
        <v>41.5</v>
      </c>
      <c r="AL15" s="22">
        <f t="shared" si="20"/>
        <v>42.5</v>
      </c>
      <c r="AM15" s="22">
        <f t="shared" si="20"/>
        <v>42.5</v>
      </c>
      <c r="AN15" s="22">
        <f t="shared" si="20"/>
        <v>43</v>
      </c>
      <c r="AO15" s="22">
        <f t="shared" si="20"/>
        <v>43</v>
      </c>
      <c r="AP15" s="30">
        <f t="shared" si="4"/>
        <v>55.285714285714285</v>
      </c>
      <c r="AQ15" s="31">
        <f>IFERROR(VLOOKUP(A15, PENILAIAN_UAS!A10:B119, 2, FALSE), "NULL")</f>
        <v>87</v>
      </c>
      <c r="AR15" s="32">
        <v>80</v>
      </c>
      <c r="AS15" s="36">
        <v>89</v>
      </c>
      <c r="AT15" s="36">
        <v>85</v>
      </c>
      <c r="AU15" s="36">
        <v>84</v>
      </c>
      <c r="AV15" s="36">
        <v>83</v>
      </c>
      <c r="AW15" s="36">
        <v>85</v>
      </c>
      <c r="AX15" s="36">
        <v>85</v>
      </c>
      <c r="AY15" s="36">
        <v>86</v>
      </c>
      <c r="AZ15" s="36">
        <v>86</v>
      </c>
      <c r="BA15" s="33">
        <v>91</v>
      </c>
      <c r="BB15" s="33"/>
      <c r="BC15" s="33"/>
      <c r="BD15" s="33"/>
      <c r="BE15" s="33"/>
      <c r="BF15" s="33"/>
      <c r="BG15" s="33"/>
      <c r="BH15" s="33"/>
    </row>
    <row r="16" spans="1:60" ht="15.75" customHeight="1" x14ac:dyDescent="0.3">
      <c r="A16" s="24">
        <v>60200125054</v>
      </c>
      <c r="B16" s="34" t="s">
        <v>60</v>
      </c>
      <c r="C16" s="17"/>
      <c r="D16" s="17">
        <v>1</v>
      </c>
      <c r="E16" s="17">
        <v>1</v>
      </c>
      <c r="F16" s="17">
        <f t="shared" ref="F16:J16" si="21">IF(AA16&gt;0,1,0)</f>
        <v>0</v>
      </c>
      <c r="G16" s="17">
        <f t="shared" si="21"/>
        <v>0</v>
      </c>
      <c r="H16" s="17">
        <f t="shared" si="21"/>
        <v>0</v>
      </c>
      <c r="I16" s="17">
        <f t="shared" si="21"/>
        <v>1</v>
      </c>
      <c r="J16" s="17">
        <f t="shared" si="21"/>
        <v>0</v>
      </c>
      <c r="K16" s="17"/>
      <c r="L16" s="17"/>
      <c r="M16" s="21">
        <f t="shared" si="1"/>
        <v>30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100</v>
      </c>
      <c r="X16" s="26">
        <f t="shared" si="2"/>
        <v>10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100</v>
      </c>
      <c r="AE16" s="27">
        <v>0</v>
      </c>
      <c r="AF16" s="27">
        <v>0</v>
      </c>
      <c r="AG16" s="28">
        <f t="shared" si="3"/>
        <v>14.285714285714286</v>
      </c>
      <c r="AH16" s="22">
        <f t="shared" si="7"/>
        <v>0</v>
      </c>
      <c r="AI16" s="22">
        <f t="shared" ref="AI16:AO16" si="22">(AT16+BB16)/2</f>
        <v>0</v>
      </c>
      <c r="AJ16" s="22">
        <f t="shared" si="22"/>
        <v>0</v>
      </c>
      <c r="AK16" s="22">
        <f t="shared" si="22"/>
        <v>0</v>
      </c>
      <c r="AL16" s="22">
        <f t="shared" si="22"/>
        <v>0</v>
      </c>
      <c r="AM16" s="22">
        <f t="shared" si="22"/>
        <v>0</v>
      </c>
      <c r="AN16" s="22">
        <f t="shared" si="22"/>
        <v>0</v>
      </c>
      <c r="AO16" s="22">
        <f t="shared" si="22"/>
        <v>0</v>
      </c>
      <c r="AP16" s="30">
        <f t="shared" si="4"/>
        <v>0</v>
      </c>
      <c r="AQ16" s="31">
        <f>IFERROR(VLOOKUP(A16, PENILAIAN_UAS!A11:B120, 2, FALSE), "NULL")</f>
        <v>87</v>
      </c>
      <c r="AR16" s="32">
        <f>(Kontrak!$B$6*M16)+(Kontrak!$B$4*X16)+(Kontrak!$B$2*AG16)+(Kontrak!$B$3*AP16)+(Kontrak!$B$5*AQ16)</f>
        <v>32.957142857142856</v>
      </c>
      <c r="AS16" s="36"/>
      <c r="AT16" s="36"/>
      <c r="AU16" s="36"/>
      <c r="AV16" s="36"/>
      <c r="AW16" s="36"/>
      <c r="AX16" s="36"/>
      <c r="AY16" s="36"/>
      <c r="AZ16" s="36"/>
      <c r="BA16" s="33"/>
      <c r="BB16" s="33"/>
      <c r="BC16" s="33"/>
      <c r="BD16" s="33"/>
      <c r="BE16" s="33"/>
      <c r="BF16" s="33"/>
      <c r="BG16" s="33"/>
      <c r="BH16" s="33"/>
    </row>
    <row r="17" spans="1:60" ht="15.75" customHeight="1" x14ac:dyDescent="0.3">
      <c r="A17" s="20">
        <v>60200125055</v>
      </c>
      <c r="B17" s="34" t="s">
        <v>64</v>
      </c>
      <c r="C17" s="17">
        <v>1</v>
      </c>
      <c r="D17" s="17">
        <v>1</v>
      </c>
      <c r="E17" s="17">
        <v>1</v>
      </c>
      <c r="F17" s="17">
        <f t="shared" ref="F17:J17" si="23">IF(AA17&gt;0,1,0)</f>
        <v>1</v>
      </c>
      <c r="G17" s="17">
        <f t="shared" si="23"/>
        <v>1</v>
      </c>
      <c r="H17" s="17">
        <f t="shared" si="23"/>
        <v>1</v>
      </c>
      <c r="I17" s="17">
        <f t="shared" si="23"/>
        <v>1</v>
      </c>
      <c r="J17" s="17">
        <f t="shared" si="23"/>
        <v>1</v>
      </c>
      <c r="K17" s="17"/>
      <c r="L17" s="17"/>
      <c r="M17" s="21">
        <f t="shared" si="1"/>
        <v>80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6">
        <f t="shared" si="2"/>
        <v>0</v>
      </c>
      <c r="Y17" s="27">
        <v>80</v>
      </c>
      <c r="Z17" s="27">
        <v>100</v>
      </c>
      <c r="AA17" s="27">
        <v>80</v>
      </c>
      <c r="AB17" s="27">
        <v>100</v>
      </c>
      <c r="AC17" s="27">
        <v>82</v>
      </c>
      <c r="AD17" s="27">
        <v>100</v>
      </c>
      <c r="AE17" s="27">
        <v>87</v>
      </c>
      <c r="AF17" s="27">
        <v>100</v>
      </c>
      <c r="AG17" s="28">
        <f t="shared" si="3"/>
        <v>104.14285714285714</v>
      </c>
      <c r="AH17" s="22">
        <f t="shared" si="7"/>
        <v>90</v>
      </c>
      <c r="AI17" s="22">
        <v>83</v>
      </c>
      <c r="AJ17" s="22">
        <f t="shared" ref="AJ17:AO17" si="24">(AU17+BC17)/2</f>
        <v>89.5</v>
      </c>
      <c r="AK17" s="22">
        <f t="shared" si="24"/>
        <v>43</v>
      </c>
      <c r="AL17" s="22">
        <f t="shared" si="24"/>
        <v>42</v>
      </c>
      <c r="AM17" s="22">
        <f t="shared" si="24"/>
        <v>42.5</v>
      </c>
      <c r="AN17" s="22">
        <f t="shared" si="24"/>
        <v>40</v>
      </c>
      <c r="AO17" s="22">
        <f t="shared" si="24"/>
        <v>43</v>
      </c>
      <c r="AP17" s="30">
        <f t="shared" si="4"/>
        <v>67.571428571428569</v>
      </c>
      <c r="AQ17" s="31">
        <f>IFERROR(VLOOKUP(A17, PENILAIAN_UAS!A12:B121, 2, FALSE), "NULL")</f>
        <v>85</v>
      </c>
      <c r="AR17" s="32">
        <v>80</v>
      </c>
      <c r="AS17" s="36">
        <v>89</v>
      </c>
      <c r="AT17" s="36"/>
      <c r="AU17" s="36">
        <v>88</v>
      </c>
      <c r="AV17" s="36">
        <v>86</v>
      </c>
      <c r="AW17" s="36">
        <v>84</v>
      </c>
      <c r="AX17" s="36">
        <v>85</v>
      </c>
      <c r="AY17" s="36">
        <v>80</v>
      </c>
      <c r="AZ17" s="36">
        <v>86</v>
      </c>
      <c r="BA17" s="33">
        <v>91</v>
      </c>
      <c r="BB17" s="33">
        <v>91</v>
      </c>
      <c r="BC17" s="33">
        <v>91</v>
      </c>
      <c r="BD17" s="33"/>
      <c r="BE17" s="33"/>
      <c r="BF17" s="33"/>
      <c r="BG17" s="33"/>
      <c r="BH17" s="33"/>
    </row>
    <row r="18" spans="1:60" ht="15.75" customHeight="1" x14ac:dyDescent="0.3">
      <c r="A18" s="20">
        <v>60200125056</v>
      </c>
      <c r="B18" s="34" t="s">
        <v>67</v>
      </c>
      <c r="C18" s="17">
        <v>1</v>
      </c>
      <c r="D18" s="17">
        <v>1</v>
      </c>
      <c r="E18" s="17">
        <v>1</v>
      </c>
      <c r="F18" s="17">
        <f t="shared" ref="F18:J18" si="25">IF(AA18&gt;0,1,0)</f>
        <v>1</v>
      </c>
      <c r="G18" s="17">
        <f t="shared" si="25"/>
        <v>1</v>
      </c>
      <c r="H18" s="17">
        <f t="shared" si="25"/>
        <v>1</v>
      </c>
      <c r="I18" s="17">
        <f t="shared" si="25"/>
        <v>1</v>
      </c>
      <c r="J18" s="17">
        <f t="shared" si="25"/>
        <v>1</v>
      </c>
      <c r="K18" s="17"/>
      <c r="L18" s="17"/>
      <c r="M18" s="21">
        <f t="shared" si="1"/>
        <v>80</v>
      </c>
      <c r="N18" s="22">
        <v>0</v>
      </c>
      <c r="O18" s="22">
        <v>0</v>
      </c>
      <c r="P18" s="22">
        <v>0</v>
      </c>
      <c r="Q18" s="22">
        <v>90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100</v>
      </c>
      <c r="X18" s="26">
        <f t="shared" si="2"/>
        <v>19</v>
      </c>
      <c r="Y18" s="27">
        <v>100</v>
      </c>
      <c r="Z18" s="27">
        <v>80</v>
      </c>
      <c r="AA18" s="27">
        <v>80</v>
      </c>
      <c r="AB18" s="27">
        <v>87</v>
      </c>
      <c r="AC18" s="27">
        <v>87</v>
      </c>
      <c r="AD18" s="27">
        <v>100</v>
      </c>
      <c r="AE18" s="27">
        <v>86</v>
      </c>
      <c r="AF18" s="27">
        <v>86</v>
      </c>
      <c r="AG18" s="28">
        <f t="shared" si="3"/>
        <v>100.85714285714286</v>
      </c>
      <c r="AH18" s="22">
        <v>80</v>
      </c>
      <c r="AI18" s="22">
        <f t="shared" ref="AI18:AO18" si="26">(AT18+BB18)/2</f>
        <v>87.5</v>
      </c>
      <c r="AJ18" s="22">
        <f t="shared" si="26"/>
        <v>88</v>
      </c>
      <c r="AK18" s="22">
        <f t="shared" si="26"/>
        <v>43</v>
      </c>
      <c r="AL18" s="22">
        <f t="shared" si="26"/>
        <v>43.5</v>
      </c>
      <c r="AM18" s="22">
        <f t="shared" si="26"/>
        <v>43</v>
      </c>
      <c r="AN18" s="22">
        <f t="shared" si="26"/>
        <v>85</v>
      </c>
      <c r="AO18" s="22">
        <f t="shared" si="26"/>
        <v>84</v>
      </c>
      <c r="AP18" s="30">
        <f t="shared" si="4"/>
        <v>79.142857142857139</v>
      </c>
      <c r="AQ18" s="31">
        <f>IFERROR(VLOOKUP(A18, PENILAIAN_UAS!A13:B122, 2, FALSE), "NULL")</f>
        <v>91</v>
      </c>
      <c r="AR18" s="32">
        <f>(Kontrak!$B$6*M18)+(Kontrak!$B$4*X18)+(Kontrak!$B$2*AG18)+(Kontrak!$B$3*AP18)+(Kontrak!$B$5*AQ18)</f>
        <v>81.114285714285714</v>
      </c>
      <c r="AS18" s="36"/>
      <c r="AT18" s="36">
        <v>84</v>
      </c>
      <c r="AU18" s="36">
        <v>85</v>
      </c>
      <c r="AV18" s="36">
        <v>86</v>
      </c>
      <c r="AW18" s="36">
        <v>87</v>
      </c>
      <c r="AX18" s="36">
        <v>86</v>
      </c>
      <c r="AY18" s="36">
        <v>86</v>
      </c>
      <c r="AZ18" s="36">
        <v>84</v>
      </c>
      <c r="BA18" s="33">
        <v>91</v>
      </c>
      <c r="BB18" s="33">
        <v>91</v>
      </c>
      <c r="BC18" s="33">
        <v>91</v>
      </c>
      <c r="BD18" s="33"/>
      <c r="BE18" s="33"/>
      <c r="BF18" s="33"/>
      <c r="BG18" s="33">
        <v>84</v>
      </c>
      <c r="BH18" s="33">
        <v>84</v>
      </c>
    </row>
    <row r="19" spans="1:60" ht="15.75" customHeight="1" x14ac:dyDescent="0.3">
      <c r="A19" s="24">
        <v>60200125057</v>
      </c>
      <c r="B19" s="34" t="s">
        <v>72</v>
      </c>
      <c r="C19" s="17">
        <v>1</v>
      </c>
      <c r="D19" s="17">
        <v>1</v>
      </c>
      <c r="E19" s="17">
        <v>1</v>
      </c>
      <c r="F19" s="17">
        <f t="shared" ref="F19:J19" si="27">IF(AA19&gt;0,1,0)</f>
        <v>1</v>
      </c>
      <c r="G19" s="17">
        <f t="shared" si="27"/>
        <v>1</v>
      </c>
      <c r="H19" s="17">
        <f t="shared" si="27"/>
        <v>1</v>
      </c>
      <c r="I19" s="17">
        <f t="shared" si="27"/>
        <v>1</v>
      </c>
      <c r="J19" s="17">
        <f t="shared" si="27"/>
        <v>1</v>
      </c>
      <c r="K19" s="17"/>
      <c r="L19" s="17"/>
      <c r="M19" s="21">
        <f t="shared" si="1"/>
        <v>80</v>
      </c>
      <c r="N19" s="22">
        <v>0</v>
      </c>
      <c r="O19" s="22">
        <v>0</v>
      </c>
      <c r="P19" s="22">
        <v>0</v>
      </c>
      <c r="Q19" s="22">
        <v>90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100</v>
      </c>
      <c r="X19" s="26">
        <f t="shared" si="2"/>
        <v>19</v>
      </c>
      <c r="Y19" s="27">
        <v>85</v>
      </c>
      <c r="Z19" s="27">
        <v>80</v>
      </c>
      <c r="AA19" s="27">
        <v>87</v>
      </c>
      <c r="AB19" s="27">
        <v>100</v>
      </c>
      <c r="AC19" s="27">
        <v>87</v>
      </c>
      <c r="AD19" s="27">
        <v>100</v>
      </c>
      <c r="AE19" s="27">
        <v>87</v>
      </c>
      <c r="AF19" s="27">
        <v>100</v>
      </c>
      <c r="AG19" s="28">
        <f t="shared" si="3"/>
        <v>103.71428571428571</v>
      </c>
      <c r="AH19" s="22">
        <v>80</v>
      </c>
      <c r="AI19" s="22" t="s">
        <v>26</v>
      </c>
      <c r="AJ19" s="22" t="s">
        <v>27</v>
      </c>
      <c r="AK19" s="22">
        <f t="shared" ref="AK19:AO19" si="28">(AV19+BD19)/2</f>
        <v>43</v>
      </c>
      <c r="AL19" s="22">
        <f t="shared" si="28"/>
        <v>41</v>
      </c>
      <c r="AM19" s="22">
        <f t="shared" si="28"/>
        <v>42.5</v>
      </c>
      <c r="AN19" s="22">
        <f t="shared" si="28"/>
        <v>43</v>
      </c>
      <c r="AO19" s="22">
        <f t="shared" si="28"/>
        <v>43</v>
      </c>
      <c r="AP19" s="30">
        <f t="shared" si="4"/>
        <v>41.785714285714285</v>
      </c>
      <c r="AQ19" s="31">
        <f>IFERROR(VLOOKUP(A19, PENILAIAN_UAS!A14:B123, 2, FALSE), "NULL")</f>
        <v>84</v>
      </c>
      <c r="AR19" s="32">
        <v>80</v>
      </c>
      <c r="AS19" s="36"/>
      <c r="AT19" s="36"/>
      <c r="AU19" s="36"/>
      <c r="AV19" s="36">
        <v>86</v>
      </c>
      <c r="AW19" s="36">
        <v>82</v>
      </c>
      <c r="AX19" s="36">
        <v>85</v>
      </c>
      <c r="AY19" s="36">
        <v>86</v>
      </c>
      <c r="AZ19" s="36">
        <v>86</v>
      </c>
      <c r="BA19" s="33">
        <v>91</v>
      </c>
      <c r="BB19" s="33">
        <v>91</v>
      </c>
      <c r="BC19" s="33">
        <v>91</v>
      </c>
      <c r="BD19" s="33"/>
      <c r="BE19" s="33"/>
      <c r="BF19" s="33"/>
      <c r="BG19" s="33"/>
      <c r="BH19" s="33"/>
    </row>
    <row r="20" spans="1:60" ht="15.75" customHeight="1" x14ac:dyDescent="0.3">
      <c r="A20" s="20">
        <v>60200125058</v>
      </c>
      <c r="B20" s="34" t="s">
        <v>75</v>
      </c>
      <c r="C20" s="17"/>
      <c r="D20" s="17">
        <v>1</v>
      </c>
      <c r="E20" s="17">
        <v>1</v>
      </c>
      <c r="F20" s="17">
        <f t="shared" ref="F20:J20" si="29">IF(AA20&gt;0,1,0)</f>
        <v>1</v>
      </c>
      <c r="G20" s="17">
        <f t="shared" si="29"/>
        <v>1</v>
      </c>
      <c r="H20" s="17">
        <f t="shared" si="29"/>
        <v>1</v>
      </c>
      <c r="I20" s="17">
        <f t="shared" si="29"/>
        <v>1</v>
      </c>
      <c r="J20" s="17">
        <f t="shared" si="29"/>
        <v>1</v>
      </c>
      <c r="K20" s="17"/>
      <c r="L20" s="17"/>
      <c r="M20" s="21">
        <f t="shared" si="1"/>
        <v>70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100</v>
      </c>
      <c r="W20" s="22">
        <v>100</v>
      </c>
      <c r="X20" s="26">
        <f t="shared" si="2"/>
        <v>20</v>
      </c>
      <c r="Y20" s="27">
        <v>80</v>
      </c>
      <c r="Z20" s="27">
        <v>100</v>
      </c>
      <c r="AA20" s="27">
        <v>80</v>
      </c>
      <c r="AB20" s="27">
        <v>100</v>
      </c>
      <c r="AC20" s="27">
        <v>82</v>
      </c>
      <c r="AD20" s="27">
        <v>100</v>
      </c>
      <c r="AE20" s="27">
        <v>87</v>
      </c>
      <c r="AF20" s="27">
        <v>100</v>
      </c>
      <c r="AG20" s="28">
        <f t="shared" si="3"/>
        <v>104.14285714285714</v>
      </c>
      <c r="AH20" s="22">
        <f t="shared" ref="AH20:AO20" si="30">(AS20+BA20)/2</f>
        <v>90</v>
      </c>
      <c r="AI20" s="22">
        <f t="shared" si="30"/>
        <v>85.5</v>
      </c>
      <c r="AJ20" s="22">
        <f t="shared" si="30"/>
        <v>88</v>
      </c>
      <c r="AK20" s="22">
        <f t="shared" si="30"/>
        <v>89</v>
      </c>
      <c r="AL20" s="22">
        <f t="shared" si="30"/>
        <v>89</v>
      </c>
      <c r="AM20" s="22">
        <f t="shared" si="30"/>
        <v>88</v>
      </c>
      <c r="AN20" s="22">
        <f t="shared" si="30"/>
        <v>43.5</v>
      </c>
      <c r="AO20" s="22">
        <f t="shared" si="30"/>
        <v>42</v>
      </c>
      <c r="AP20" s="30">
        <f t="shared" si="4"/>
        <v>87.857142857142861</v>
      </c>
      <c r="AQ20" s="31">
        <f>IFERROR(VLOOKUP(A20, PENILAIAN_UAS!A15:B124, 2, FALSE), "NULL")</f>
        <v>81</v>
      </c>
      <c r="AR20" s="32">
        <f>(Kontrak!$B$6*M20)+(Kontrak!$B$4*X20)+(Kontrak!$B$2*AG20)+(Kontrak!$B$3*AP20)+(Kontrak!$B$5*AQ20)</f>
        <v>80.48571428571428</v>
      </c>
      <c r="AS20" s="36">
        <v>89</v>
      </c>
      <c r="AT20" s="36">
        <v>80</v>
      </c>
      <c r="AU20" s="36">
        <v>85</v>
      </c>
      <c r="AV20" s="36">
        <v>87</v>
      </c>
      <c r="AW20" s="36">
        <v>87</v>
      </c>
      <c r="AX20" s="36">
        <v>85</v>
      </c>
      <c r="AY20" s="36">
        <v>87</v>
      </c>
      <c r="AZ20" s="36">
        <v>84</v>
      </c>
      <c r="BA20" s="33">
        <v>91</v>
      </c>
      <c r="BB20" s="33">
        <v>91</v>
      </c>
      <c r="BC20" s="33">
        <v>91</v>
      </c>
      <c r="BD20" s="33">
        <v>91</v>
      </c>
      <c r="BE20" s="33">
        <v>91</v>
      </c>
      <c r="BF20" s="33">
        <v>91</v>
      </c>
      <c r="BG20" s="33"/>
      <c r="BH20" s="33"/>
    </row>
    <row r="21" spans="1:60" ht="15.75" customHeight="1" x14ac:dyDescent="0.3">
      <c r="A21" s="29">
        <v>60200125072</v>
      </c>
      <c r="B21" s="34" t="s">
        <v>79</v>
      </c>
      <c r="C21" s="17">
        <v>1</v>
      </c>
      <c r="D21" s="17">
        <v>1</v>
      </c>
      <c r="E21" s="17">
        <v>1</v>
      </c>
      <c r="F21" s="17">
        <f t="shared" ref="F21:J21" si="31">IF(AA21&gt;0,1,0)</f>
        <v>1</v>
      </c>
      <c r="G21" s="17">
        <f t="shared" si="31"/>
        <v>1</v>
      </c>
      <c r="H21" s="17">
        <f t="shared" si="31"/>
        <v>1</v>
      </c>
      <c r="I21" s="17">
        <f t="shared" si="31"/>
        <v>1</v>
      </c>
      <c r="J21" s="17">
        <f t="shared" si="31"/>
        <v>1</v>
      </c>
      <c r="K21" s="17"/>
      <c r="L21" s="17"/>
      <c r="M21" s="21">
        <f t="shared" si="1"/>
        <v>80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100</v>
      </c>
      <c r="X21" s="26">
        <f t="shared" si="2"/>
        <v>10</v>
      </c>
      <c r="Y21" s="27">
        <v>100</v>
      </c>
      <c r="Z21" s="27">
        <v>83</v>
      </c>
      <c r="AA21" s="27">
        <v>100</v>
      </c>
      <c r="AB21" s="27">
        <v>79</v>
      </c>
      <c r="AC21" s="27">
        <v>100</v>
      </c>
      <c r="AD21" s="27">
        <v>100</v>
      </c>
      <c r="AE21" s="27">
        <v>100</v>
      </c>
      <c r="AF21" s="27">
        <v>87</v>
      </c>
      <c r="AG21" s="28">
        <f t="shared" si="3"/>
        <v>107</v>
      </c>
      <c r="AH21" s="22">
        <f t="shared" ref="AH21:AH25" si="32">(AS21+BA21)/2</f>
        <v>85.5</v>
      </c>
      <c r="AI21" s="22">
        <v>80</v>
      </c>
      <c r="AJ21" s="22">
        <v>0</v>
      </c>
      <c r="AK21" s="22">
        <f t="shared" ref="AK21:AO21" si="33">(AV21+BD21)/2</f>
        <v>89</v>
      </c>
      <c r="AL21" s="22">
        <f t="shared" si="33"/>
        <v>86.5</v>
      </c>
      <c r="AM21" s="22">
        <f t="shared" si="33"/>
        <v>88.5</v>
      </c>
      <c r="AN21" s="22">
        <f t="shared" si="33"/>
        <v>42</v>
      </c>
      <c r="AO21" s="22">
        <f t="shared" si="33"/>
        <v>42</v>
      </c>
      <c r="AP21" s="30">
        <f t="shared" si="4"/>
        <v>73.357142857142861</v>
      </c>
      <c r="AQ21" s="31">
        <f>IFERROR(VLOOKUP(A21, PENILAIAN_UAS!A16:B125, 2, FALSE), "NULL")</f>
        <v>92</v>
      </c>
      <c r="AR21" s="32">
        <f>(Kontrak!$B$6*M21)+(Kontrak!$B$4*X21)+(Kontrak!$B$2*AG21)+(Kontrak!$B$3*AP21)+(Kontrak!$B$5*AQ21)</f>
        <v>80.007142857142853</v>
      </c>
      <c r="AS21" s="36">
        <v>80</v>
      </c>
      <c r="AT21" s="36"/>
      <c r="AU21" s="36">
        <v>87</v>
      </c>
      <c r="AV21" s="36">
        <v>87</v>
      </c>
      <c r="AW21" s="36">
        <v>82</v>
      </c>
      <c r="AX21" s="36">
        <v>86</v>
      </c>
      <c r="AY21" s="36">
        <v>84</v>
      </c>
      <c r="AZ21" s="36">
        <v>84</v>
      </c>
      <c r="BA21" s="33">
        <v>91</v>
      </c>
      <c r="BB21" s="33">
        <v>91</v>
      </c>
      <c r="BC21" s="33">
        <v>91</v>
      </c>
      <c r="BD21" s="33">
        <v>91</v>
      </c>
      <c r="BE21" s="33">
        <v>91</v>
      </c>
      <c r="BF21" s="33">
        <v>91</v>
      </c>
      <c r="BG21" s="33"/>
      <c r="BH21" s="33"/>
    </row>
    <row r="22" spans="1:60" ht="15.75" customHeight="1" x14ac:dyDescent="0.3">
      <c r="A22" s="20">
        <v>60200125079</v>
      </c>
      <c r="B22" s="34" t="s">
        <v>82</v>
      </c>
      <c r="C22" s="17">
        <v>1</v>
      </c>
      <c r="D22" s="17">
        <v>1</v>
      </c>
      <c r="E22" s="17">
        <v>1</v>
      </c>
      <c r="F22" s="17">
        <f t="shared" ref="F22:J22" si="34">IF(AA22&gt;0,1,0)</f>
        <v>0</v>
      </c>
      <c r="G22" s="17">
        <f t="shared" si="34"/>
        <v>0</v>
      </c>
      <c r="H22" s="17">
        <f t="shared" si="34"/>
        <v>0</v>
      </c>
      <c r="I22" s="17">
        <f t="shared" si="34"/>
        <v>1</v>
      </c>
      <c r="J22" s="17">
        <f t="shared" si="34"/>
        <v>0</v>
      </c>
      <c r="K22" s="17"/>
      <c r="L22" s="17"/>
      <c r="M22" s="21">
        <f t="shared" si="1"/>
        <v>40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100</v>
      </c>
      <c r="X22" s="26">
        <f t="shared" si="2"/>
        <v>10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100</v>
      </c>
      <c r="AE22" s="27">
        <v>0</v>
      </c>
      <c r="AF22" s="27">
        <v>0</v>
      </c>
      <c r="AG22" s="28">
        <f t="shared" si="3"/>
        <v>14.285714285714286</v>
      </c>
      <c r="AH22" s="22">
        <f t="shared" si="32"/>
        <v>0</v>
      </c>
      <c r="AI22" s="22">
        <v>0</v>
      </c>
      <c r="AJ22" s="22">
        <v>0</v>
      </c>
      <c r="AK22" s="22">
        <f t="shared" ref="AK22:AO22" si="35">(AV22+BD22)/2</f>
        <v>0</v>
      </c>
      <c r="AL22" s="22">
        <f t="shared" si="35"/>
        <v>0</v>
      </c>
      <c r="AM22" s="22">
        <f t="shared" si="35"/>
        <v>0</v>
      </c>
      <c r="AN22" s="22">
        <f t="shared" si="35"/>
        <v>0</v>
      </c>
      <c r="AO22" s="22">
        <f t="shared" si="35"/>
        <v>0</v>
      </c>
      <c r="AP22" s="30">
        <f t="shared" si="4"/>
        <v>0</v>
      </c>
      <c r="AQ22" s="31">
        <f>IFERROR(VLOOKUP(A22, PENILAIAN_UAS!A17:B126, 2, FALSE), "NULL")</f>
        <v>84</v>
      </c>
      <c r="AR22" s="32">
        <f>(Kontrak!$B$6*M22)+(Kontrak!$B$4*X22)+(Kontrak!$B$2*AG22)+(Kontrak!$B$3*AP22)+(Kontrak!$B$5*AQ22)</f>
        <v>33.057142857142857</v>
      </c>
      <c r="AS22" s="36"/>
      <c r="AT22" s="36"/>
      <c r="AU22" s="36"/>
      <c r="AV22" s="36"/>
      <c r="AW22" s="36"/>
      <c r="AX22" s="36"/>
      <c r="AY22" s="36"/>
      <c r="AZ22" s="36"/>
      <c r="BA22" s="33"/>
      <c r="BB22" s="33"/>
      <c r="BC22" s="33"/>
      <c r="BD22" s="33"/>
      <c r="BE22" s="33"/>
      <c r="BF22" s="33"/>
      <c r="BG22" s="33"/>
      <c r="BH22" s="33"/>
    </row>
    <row r="23" spans="1:60" ht="15.75" customHeight="1" x14ac:dyDescent="0.3">
      <c r="A23" s="24">
        <v>60200125080</v>
      </c>
      <c r="B23" s="34" t="s">
        <v>84</v>
      </c>
      <c r="C23" s="17"/>
      <c r="D23" s="17">
        <v>1</v>
      </c>
      <c r="E23" s="17">
        <v>1</v>
      </c>
      <c r="F23" s="17">
        <f t="shared" ref="F23:J23" si="36">IF(AA23&gt;0,1,0)</f>
        <v>0</v>
      </c>
      <c r="G23" s="17">
        <f t="shared" si="36"/>
        <v>0</v>
      </c>
      <c r="H23" s="17">
        <f t="shared" si="36"/>
        <v>0</v>
      </c>
      <c r="I23" s="17">
        <f t="shared" si="36"/>
        <v>1</v>
      </c>
      <c r="J23" s="17">
        <f t="shared" si="36"/>
        <v>0</v>
      </c>
      <c r="K23" s="17"/>
      <c r="L23" s="17"/>
      <c r="M23" s="21">
        <f t="shared" si="1"/>
        <v>30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6">
        <f t="shared" si="2"/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100</v>
      </c>
      <c r="AE23" s="27">
        <v>0</v>
      </c>
      <c r="AF23" s="27">
        <v>0</v>
      </c>
      <c r="AG23" s="28">
        <f t="shared" si="3"/>
        <v>14.285714285714286</v>
      </c>
      <c r="AH23" s="22">
        <f t="shared" si="32"/>
        <v>0</v>
      </c>
      <c r="AI23" s="22">
        <v>0</v>
      </c>
      <c r="AJ23" s="22">
        <v>0</v>
      </c>
      <c r="AK23" s="22">
        <f t="shared" ref="AK23:AO23" si="37">(AV23+BD23)/2</f>
        <v>0</v>
      </c>
      <c r="AL23" s="22">
        <f t="shared" si="37"/>
        <v>0</v>
      </c>
      <c r="AM23" s="22">
        <f t="shared" si="37"/>
        <v>0</v>
      </c>
      <c r="AN23" s="22">
        <f t="shared" si="37"/>
        <v>0</v>
      </c>
      <c r="AO23" s="22">
        <f t="shared" si="37"/>
        <v>0</v>
      </c>
      <c r="AP23" s="30">
        <f t="shared" si="4"/>
        <v>0</v>
      </c>
      <c r="AQ23" s="31">
        <f>IFERROR(VLOOKUP(A23, PENILAIAN_UAS!A18:B127, 2, FALSE), "NULL")</f>
        <v>0</v>
      </c>
      <c r="AR23" s="32">
        <f>(Kontrak!$B$6*M23)+(Kontrak!$B$4*X23)+(Kontrak!$B$2*AG23)+(Kontrak!$B$3*AP23)+(Kontrak!$B$5*AQ23)</f>
        <v>5.8571428571428577</v>
      </c>
      <c r="AS23" s="36"/>
      <c r="AT23" s="36"/>
      <c r="AU23" s="36"/>
      <c r="AV23" s="36"/>
      <c r="AW23" s="36"/>
      <c r="AX23" s="36"/>
      <c r="AY23" s="36"/>
      <c r="AZ23" s="36"/>
      <c r="BA23" s="33"/>
      <c r="BB23" s="33"/>
      <c r="BC23" s="33"/>
      <c r="BD23" s="33"/>
      <c r="BE23" s="33"/>
      <c r="BF23" s="33"/>
      <c r="BG23" s="33"/>
      <c r="BH23" s="33"/>
    </row>
    <row r="24" spans="1:60" ht="15.75" customHeight="1" x14ac:dyDescent="0.3">
      <c r="A24" s="24">
        <v>60200125081</v>
      </c>
      <c r="B24" s="34" t="s">
        <v>86</v>
      </c>
      <c r="C24" s="17">
        <v>1</v>
      </c>
      <c r="D24" s="17">
        <v>1</v>
      </c>
      <c r="E24" s="17">
        <v>1</v>
      </c>
      <c r="F24" s="17">
        <f t="shared" ref="F24:J24" si="38">IF(AA24&gt;0,1,0)</f>
        <v>0</v>
      </c>
      <c r="G24" s="17">
        <f t="shared" si="38"/>
        <v>0</v>
      </c>
      <c r="H24" s="17">
        <f t="shared" si="38"/>
        <v>0</v>
      </c>
      <c r="I24" s="17">
        <f t="shared" si="38"/>
        <v>1</v>
      </c>
      <c r="J24" s="17">
        <f t="shared" si="38"/>
        <v>0</v>
      </c>
      <c r="K24" s="17"/>
      <c r="L24" s="17"/>
      <c r="M24" s="21">
        <f t="shared" si="1"/>
        <v>40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6">
        <f t="shared" si="2"/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100</v>
      </c>
      <c r="AE24" s="27">
        <v>0</v>
      </c>
      <c r="AF24" s="27">
        <v>0</v>
      </c>
      <c r="AG24" s="28">
        <f t="shared" si="3"/>
        <v>14.285714285714286</v>
      </c>
      <c r="AH24" s="22">
        <f t="shared" si="32"/>
        <v>0</v>
      </c>
      <c r="AI24" s="22">
        <v>80</v>
      </c>
      <c r="AJ24" s="22">
        <v>0</v>
      </c>
      <c r="AK24" s="22">
        <f t="shared" ref="AK24:AO24" si="39">(AV24+BD24)/2</f>
        <v>0</v>
      </c>
      <c r="AL24" s="22">
        <f t="shared" si="39"/>
        <v>0</v>
      </c>
      <c r="AM24" s="22">
        <f t="shared" si="39"/>
        <v>0</v>
      </c>
      <c r="AN24" s="22">
        <f t="shared" si="39"/>
        <v>0</v>
      </c>
      <c r="AO24" s="22">
        <f t="shared" si="39"/>
        <v>0</v>
      </c>
      <c r="AP24" s="30">
        <f t="shared" si="4"/>
        <v>11.428571428571429</v>
      </c>
      <c r="AQ24" s="31">
        <f>IFERROR(VLOOKUP(A24, PENILAIAN_UAS!A19:B128, 2, FALSE), "NULL")</f>
        <v>0</v>
      </c>
      <c r="AR24" s="32">
        <f>(Kontrak!$B$6*M24)+(Kontrak!$B$4*X24)+(Kontrak!$B$2*AG24)+(Kontrak!$B$3*AP24)+(Kontrak!$B$5*AQ24)</f>
        <v>10.285714285714286</v>
      </c>
      <c r="AS24" s="36"/>
      <c r="AT24" s="36"/>
      <c r="AU24" s="36"/>
      <c r="AV24" s="36"/>
      <c r="AW24" s="36"/>
      <c r="AX24" s="36"/>
      <c r="AY24" s="36"/>
      <c r="AZ24" s="36"/>
      <c r="BA24" s="33"/>
      <c r="BB24" s="33"/>
      <c r="BC24" s="33"/>
      <c r="BD24" s="33"/>
      <c r="BE24" s="33"/>
      <c r="BF24" s="33"/>
      <c r="BG24" s="33"/>
      <c r="BH24" s="33"/>
    </row>
    <row r="25" spans="1:60" ht="15.75" customHeight="1" x14ac:dyDescent="0.3">
      <c r="A25" s="24">
        <v>60200125094</v>
      </c>
      <c r="B25" s="34" t="s">
        <v>87</v>
      </c>
      <c r="C25" s="17">
        <v>1</v>
      </c>
      <c r="D25" s="17">
        <v>1</v>
      </c>
      <c r="E25" s="17">
        <v>1</v>
      </c>
      <c r="F25" s="17">
        <f t="shared" ref="F25:J25" si="40">IF(AA25&gt;0,1,0)</f>
        <v>0</v>
      </c>
      <c r="G25" s="17">
        <f t="shared" si="40"/>
        <v>0</v>
      </c>
      <c r="H25" s="17">
        <f t="shared" si="40"/>
        <v>0</v>
      </c>
      <c r="I25" s="17">
        <f t="shared" si="40"/>
        <v>1</v>
      </c>
      <c r="J25" s="17">
        <f t="shared" si="40"/>
        <v>0</v>
      </c>
      <c r="K25" s="17"/>
      <c r="L25" s="17"/>
      <c r="M25" s="21">
        <f t="shared" si="1"/>
        <v>40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100</v>
      </c>
      <c r="X25" s="26">
        <f t="shared" si="2"/>
        <v>10</v>
      </c>
      <c r="Y25" s="27">
        <v>100</v>
      </c>
      <c r="Z25" s="27">
        <v>0</v>
      </c>
      <c r="AA25" s="27">
        <v>0</v>
      </c>
      <c r="AB25" s="27">
        <v>0</v>
      </c>
      <c r="AC25" s="27">
        <v>0</v>
      </c>
      <c r="AD25" s="27">
        <v>100</v>
      </c>
      <c r="AE25" s="27">
        <v>0</v>
      </c>
      <c r="AF25" s="27">
        <v>0</v>
      </c>
      <c r="AG25" s="28">
        <f t="shared" si="3"/>
        <v>28.571428571428573</v>
      </c>
      <c r="AH25" s="22">
        <f t="shared" si="32"/>
        <v>88</v>
      </c>
      <c r="AI25" s="22">
        <f t="shared" ref="AI25:AO25" si="41">(AT25+BB25)/2</f>
        <v>45.5</v>
      </c>
      <c r="AJ25" s="22">
        <f t="shared" si="41"/>
        <v>88</v>
      </c>
      <c r="AK25" s="22">
        <f t="shared" si="41"/>
        <v>40</v>
      </c>
      <c r="AL25" s="22">
        <f t="shared" si="41"/>
        <v>42.5</v>
      </c>
      <c r="AM25" s="22">
        <f t="shared" si="41"/>
        <v>41</v>
      </c>
      <c r="AN25" s="22">
        <f t="shared" si="41"/>
        <v>42.5</v>
      </c>
      <c r="AO25" s="22">
        <f t="shared" si="41"/>
        <v>0</v>
      </c>
      <c r="AP25" s="30">
        <f t="shared" si="4"/>
        <v>55.357142857142854</v>
      </c>
      <c r="AQ25" s="31">
        <f>IFERROR(VLOOKUP(A25, PENILAIAN_UAS!A20:B129, 2, FALSE), "NULL")</f>
        <v>92</v>
      </c>
      <c r="AR25" s="32">
        <v>80</v>
      </c>
      <c r="AS25" s="36">
        <v>85</v>
      </c>
      <c r="AT25" s="36"/>
      <c r="AU25" s="36">
        <v>85</v>
      </c>
      <c r="AV25" s="36">
        <v>80</v>
      </c>
      <c r="AW25" s="36">
        <v>85</v>
      </c>
      <c r="AX25" s="36">
        <v>82</v>
      </c>
      <c r="AY25" s="36">
        <v>85</v>
      </c>
      <c r="AZ25" s="36"/>
      <c r="BA25" s="33">
        <v>91</v>
      </c>
      <c r="BB25" s="33">
        <v>91</v>
      </c>
      <c r="BC25" s="33">
        <v>91</v>
      </c>
      <c r="BD25" s="33"/>
      <c r="BE25" s="33"/>
      <c r="BF25" s="33"/>
      <c r="BG25" s="33"/>
      <c r="BH25" s="33"/>
    </row>
    <row r="26" spans="1:60" ht="15.75" customHeight="1" x14ac:dyDescent="0.3">
      <c r="A26" s="29">
        <v>60200125096</v>
      </c>
      <c r="B26" s="34" t="s">
        <v>89</v>
      </c>
      <c r="C26" s="17">
        <v>1</v>
      </c>
      <c r="D26" s="17">
        <v>1</v>
      </c>
      <c r="E26" s="17">
        <v>1</v>
      </c>
      <c r="F26" s="17">
        <f t="shared" ref="F26:J26" si="42">IF(AA26&gt;0,1,0)</f>
        <v>1</v>
      </c>
      <c r="G26" s="17">
        <f t="shared" si="42"/>
        <v>0</v>
      </c>
      <c r="H26" s="17">
        <f t="shared" si="42"/>
        <v>1</v>
      </c>
      <c r="I26" s="17">
        <f t="shared" si="42"/>
        <v>1</v>
      </c>
      <c r="J26" s="17">
        <f t="shared" si="42"/>
        <v>1</v>
      </c>
      <c r="K26" s="17"/>
      <c r="L26" s="17"/>
      <c r="M26" s="21">
        <f t="shared" si="1"/>
        <v>70</v>
      </c>
      <c r="N26" s="22">
        <v>0</v>
      </c>
      <c r="O26" s="22">
        <v>0</v>
      </c>
      <c r="P26" s="22">
        <v>0</v>
      </c>
      <c r="Q26" s="22">
        <v>90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100</v>
      </c>
      <c r="X26" s="26">
        <f t="shared" si="2"/>
        <v>19</v>
      </c>
      <c r="Y26" s="27">
        <v>100</v>
      </c>
      <c r="Z26" s="27">
        <v>80</v>
      </c>
      <c r="AA26" s="27">
        <v>100</v>
      </c>
      <c r="AB26" s="27">
        <v>0</v>
      </c>
      <c r="AC26" s="27">
        <v>100</v>
      </c>
      <c r="AD26" s="27">
        <v>100</v>
      </c>
      <c r="AE26" s="27">
        <v>100</v>
      </c>
      <c r="AF26" s="27">
        <v>0</v>
      </c>
      <c r="AG26" s="28">
        <f t="shared" si="3"/>
        <v>82.857142857142861</v>
      </c>
      <c r="AH26" s="22">
        <v>85</v>
      </c>
      <c r="AI26" s="22">
        <v>80</v>
      </c>
      <c r="AJ26" s="22">
        <f t="shared" ref="AJ26:AO26" si="43">(AU26+BC26)/2</f>
        <v>88</v>
      </c>
      <c r="AK26" s="22">
        <f t="shared" si="43"/>
        <v>88.5</v>
      </c>
      <c r="AL26" s="22">
        <f t="shared" si="43"/>
        <v>88.5</v>
      </c>
      <c r="AM26" s="22">
        <f t="shared" si="43"/>
        <v>88</v>
      </c>
      <c r="AN26" s="22">
        <f t="shared" si="43"/>
        <v>85</v>
      </c>
      <c r="AO26" s="22">
        <f t="shared" si="43"/>
        <v>42</v>
      </c>
      <c r="AP26" s="30">
        <f t="shared" si="4"/>
        <v>92.142857142857139</v>
      </c>
      <c r="AQ26" s="31">
        <f>IFERROR(VLOOKUP(A26, PENILAIAN_UAS!A21:B130, 2, FALSE), "NULL")</f>
        <v>91</v>
      </c>
      <c r="AR26" s="32">
        <f>(Kontrak!$B$6*M26)+(Kontrak!$B$4*X26)+(Kontrak!$B$2*AG26)+(Kontrak!$B$3*AP26)+(Kontrak!$B$5*AQ26)</f>
        <v>80.414285714285711</v>
      </c>
      <c r="AS26" s="36">
        <v>85</v>
      </c>
      <c r="AT26" s="36">
        <v>80</v>
      </c>
      <c r="AU26" s="36">
        <v>85</v>
      </c>
      <c r="AV26" s="36">
        <v>86</v>
      </c>
      <c r="AW26" s="36">
        <v>86</v>
      </c>
      <c r="AX26" s="36">
        <v>85</v>
      </c>
      <c r="AY26" s="36">
        <v>86</v>
      </c>
      <c r="AZ26" s="36"/>
      <c r="BA26" s="33">
        <v>91</v>
      </c>
      <c r="BB26" s="33">
        <v>91</v>
      </c>
      <c r="BC26" s="33">
        <v>91</v>
      </c>
      <c r="BD26" s="33">
        <v>91</v>
      </c>
      <c r="BE26" s="33">
        <v>91</v>
      </c>
      <c r="BF26" s="33">
        <v>91</v>
      </c>
      <c r="BG26" s="33">
        <v>84</v>
      </c>
      <c r="BH26" s="33">
        <v>84</v>
      </c>
    </row>
    <row r="27" spans="1:60" ht="13.8" x14ac:dyDescent="0.3">
      <c r="A27" s="14">
        <v>60200125102</v>
      </c>
      <c r="B27" s="34" t="s">
        <v>91</v>
      </c>
      <c r="C27" s="17">
        <v>1</v>
      </c>
      <c r="D27" s="17">
        <v>1</v>
      </c>
      <c r="E27" s="17">
        <v>1</v>
      </c>
      <c r="F27" s="17">
        <f t="shared" ref="F27:J27" si="44">IF(AA27&gt;0,1,0)</f>
        <v>0</v>
      </c>
      <c r="G27" s="17">
        <f t="shared" si="44"/>
        <v>0</v>
      </c>
      <c r="H27" s="17">
        <f t="shared" si="44"/>
        <v>0</v>
      </c>
      <c r="I27" s="17">
        <f t="shared" si="44"/>
        <v>1</v>
      </c>
      <c r="J27" s="17">
        <f t="shared" si="44"/>
        <v>0</v>
      </c>
      <c r="K27" s="17"/>
      <c r="L27" s="17"/>
      <c r="M27" s="21">
        <f t="shared" si="1"/>
        <v>40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6">
        <f t="shared" si="2"/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100</v>
      </c>
      <c r="AE27" s="27">
        <v>0</v>
      </c>
      <c r="AF27" s="27">
        <v>0</v>
      </c>
      <c r="AG27" s="28">
        <f t="shared" si="3"/>
        <v>14.285714285714286</v>
      </c>
      <c r="AH27" s="22">
        <f t="shared" ref="AH27:AH30" si="45">(AS27+BA27)/2</f>
        <v>0</v>
      </c>
      <c r="AI27" s="22">
        <v>0</v>
      </c>
      <c r="AJ27" s="22">
        <v>0</v>
      </c>
      <c r="AK27" s="22">
        <f t="shared" ref="AK27:AO27" si="46">(AV27+BD27)/2</f>
        <v>0</v>
      </c>
      <c r="AL27" s="22">
        <f t="shared" si="46"/>
        <v>0</v>
      </c>
      <c r="AM27" s="22">
        <f t="shared" si="46"/>
        <v>0</v>
      </c>
      <c r="AN27" s="22">
        <f t="shared" si="46"/>
        <v>0</v>
      </c>
      <c r="AO27" s="22">
        <f t="shared" si="46"/>
        <v>0</v>
      </c>
      <c r="AP27" s="30">
        <f t="shared" si="4"/>
        <v>0</v>
      </c>
      <c r="AQ27" s="31">
        <f>IFERROR(VLOOKUP(A27, PENILAIAN_UAS!A22:B131, 2, FALSE), "NULL")</f>
        <v>0</v>
      </c>
      <c r="AR27" s="32">
        <f>(Kontrak!$B$6*M27)+(Kontrak!$B$4*X27)+(Kontrak!$B$2*AG27)+(Kontrak!$B$3*AP27)+(Kontrak!$B$5*AQ27)</f>
        <v>6.8571428571428577</v>
      </c>
      <c r="AS27" s="36"/>
      <c r="AT27" s="36"/>
      <c r="AU27" s="36"/>
      <c r="AV27" s="36"/>
      <c r="AW27" s="36"/>
      <c r="AX27" s="36"/>
      <c r="AY27" s="36"/>
      <c r="AZ27" s="36"/>
      <c r="BA27" s="33"/>
      <c r="BB27" s="33"/>
      <c r="BC27" s="33"/>
      <c r="BD27" s="33"/>
      <c r="BE27" s="33"/>
      <c r="BF27" s="33"/>
      <c r="BG27" s="33"/>
      <c r="BH27" s="33"/>
    </row>
    <row r="28" spans="1:60" ht="13.8" x14ac:dyDescent="0.3">
      <c r="A28" s="24">
        <v>60200125103</v>
      </c>
      <c r="B28" s="34" t="s">
        <v>93</v>
      </c>
      <c r="C28" s="17">
        <v>1</v>
      </c>
      <c r="D28" s="17">
        <v>1</v>
      </c>
      <c r="E28" s="17">
        <v>1</v>
      </c>
      <c r="F28" s="17">
        <f t="shared" ref="F28:J28" si="47">IF(AA28&gt;0,1,0)</f>
        <v>0</v>
      </c>
      <c r="G28" s="17">
        <f t="shared" si="47"/>
        <v>1</v>
      </c>
      <c r="H28" s="17">
        <f t="shared" si="47"/>
        <v>1</v>
      </c>
      <c r="I28" s="17">
        <f t="shared" si="47"/>
        <v>1</v>
      </c>
      <c r="J28" s="17">
        <f t="shared" si="47"/>
        <v>1</v>
      </c>
      <c r="K28" s="17"/>
      <c r="L28" s="17"/>
      <c r="M28" s="21">
        <f t="shared" si="1"/>
        <v>70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100</v>
      </c>
      <c r="X28" s="26">
        <f t="shared" si="2"/>
        <v>10</v>
      </c>
      <c r="Y28" s="27">
        <v>83</v>
      </c>
      <c r="Z28" s="27">
        <v>100</v>
      </c>
      <c r="AA28" s="27">
        <v>0</v>
      </c>
      <c r="AB28" s="27">
        <v>100</v>
      </c>
      <c r="AC28" s="27">
        <v>87</v>
      </c>
      <c r="AD28" s="27">
        <v>100</v>
      </c>
      <c r="AE28" s="27">
        <v>87</v>
      </c>
      <c r="AF28" s="27">
        <v>100</v>
      </c>
      <c r="AG28" s="28">
        <f t="shared" si="3"/>
        <v>93.857142857142861</v>
      </c>
      <c r="AH28" s="22">
        <f t="shared" si="45"/>
        <v>90</v>
      </c>
      <c r="AI28" s="22">
        <v>83</v>
      </c>
      <c r="AJ28" s="22">
        <f t="shared" ref="AJ28:AO28" si="48">(AU28+BC28)/2</f>
        <v>88.5</v>
      </c>
      <c r="AK28" s="22">
        <f t="shared" si="48"/>
        <v>89</v>
      </c>
      <c r="AL28" s="22">
        <f t="shared" si="48"/>
        <v>88.5</v>
      </c>
      <c r="AM28" s="22">
        <f t="shared" si="48"/>
        <v>88</v>
      </c>
      <c r="AN28" s="22">
        <f t="shared" si="48"/>
        <v>42</v>
      </c>
      <c r="AO28" s="22">
        <f t="shared" si="48"/>
        <v>0</v>
      </c>
      <c r="AP28" s="30">
        <f t="shared" si="4"/>
        <v>81.285714285714292</v>
      </c>
      <c r="AQ28" s="31">
        <f>IFERROR(VLOOKUP(A28, PENILAIAN_UAS!A23:B132, 2, FALSE), "NULL")</f>
        <v>84</v>
      </c>
      <c r="AR28" s="32">
        <v>80</v>
      </c>
      <c r="AS28" s="36">
        <v>89</v>
      </c>
      <c r="AT28" s="36">
        <v>89</v>
      </c>
      <c r="AU28" s="36">
        <v>86</v>
      </c>
      <c r="AV28" s="36">
        <v>87</v>
      </c>
      <c r="AW28" s="36">
        <v>86</v>
      </c>
      <c r="AX28" s="36">
        <v>85</v>
      </c>
      <c r="AY28" s="36">
        <v>84</v>
      </c>
      <c r="AZ28" s="36"/>
      <c r="BA28" s="33">
        <v>91</v>
      </c>
      <c r="BB28" s="33">
        <v>91</v>
      </c>
      <c r="BC28" s="33">
        <v>91</v>
      </c>
      <c r="BD28" s="33">
        <v>91</v>
      </c>
      <c r="BE28" s="33">
        <v>91</v>
      </c>
      <c r="BF28" s="33">
        <v>91</v>
      </c>
      <c r="BG28" s="33"/>
      <c r="BH28" s="33"/>
    </row>
    <row r="29" spans="1:60" ht="13.8" x14ac:dyDescent="0.3">
      <c r="A29" s="24">
        <v>60200125104</v>
      </c>
      <c r="B29" s="34" t="s">
        <v>95</v>
      </c>
      <c r="C29" s="17">
        <v>1</v>
      </c>
      <c r="D29" s="17">
        <v>1</v>
      </c>
      <c r="E29" s="17">
        <v>1</v>
      </c>
      <c r="F29" s="17">
        <f t="shared" ref="F29:J29" si="49">IF(AA29&gt;0,1,0)</f>
        <v>1</v>
      </c>
      <c r="G29" s="17">
        <f t="shared" si="49"/>
        <v>1</v>
      </c>
      <c r="H29" s="17">
        <f t="shared" si="49"/>
        <v>1</v>
      </c>
      <c r="I29" s="17">
        <f t="shared" si="49"/>
        <v>1</v>
      </c>
      <c r="J29" s="17">
        <f t="shared" si="49"/>
        <v>1</v>
      </c>
      <c r="K29" s="17"/>
      <c r="L29" s="17"/>
      <c r="M29" s="21">
        <f t="shared" si="1"/>
        <v>80</v>
      </c>
      <c r="N29" s="22">
        <v>0</v>
      </c>
      <c r="O29" s="22">
        <v>0</v>
      </c>
      <c r="P29" s="22">
        <v>0</v>
      </c>
      <c r="Q29" s="22">
        <v>100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100</v>
      </c>
      <c r="X29" s="26">
        <f t="shared" si="2"/>
        <v>20</v>
      </c>
      <c r="Y29" s="27">
        <v>100</v>
      </c>
      <c r="Z29" s="27">
        <v>80</v>
      </c>
      <c r="AA29" s="27">
        <v>83</v>
      </c>
      <c r="AB29" s="27">
        <v>83</v>
      </c>
      <c r="AC29" s="27">
        <v>87</v>
      </c>
      <c r="AD29" s="27">
        <v>100</v>
      </c>
      <c r="AE29" s="27">
        <v>85</v>
      </c>
      <c r="AF29" s="27">
        <v>87</v>
      </c>
      <c r="AG29" s="28">
        <f t="shared" si="3"/>
        <v>100.71428571428571</v>
      </c>
      <c r="AH29" s="22">
        <f t="shared" si="45"/>
        <v>90</v>
      </c>
      <c r="AI29" s="22">
        <v>85</v>
      </c>
      <c r="AJ29" s="22">
        <v>90</v>
      </c>
      <c r="AK29" s="22">
        <f t="shared" ref="AK29:AO29" si="50">(AV29+BD29)/2</f>
        <v>88.5</v>
      </c>
      <c r="AL29" s="22">
        <f t="shared" si="50"/>
        <v>88.5</v>
      </c>
      <c r="AM29" s="22">
        <f t="shared" si="50"/>
        <v>88.5</v>
      </c>
      <c r="AN29" s="22">
        <f t="shared" si="50"/>
        <v>85</v>
      </c>
      <c r="AO29" s="22">
        <f t="shared" si="50"/>
        <v>85</v>
      </c>
      <c r="AP29" s="30">
        <f t="shared" si="4"/>
        <v>100.07142857142857</v>
      </c>
      <c r="AQ29" s="31">
        <f>IFERROR(VLOOKUP(A29, PENILAIAN_UAS!A24:B133, 2, FALSE), "NULL")</f>
        <v>91</v>
      </c>
      <c r="AR29" s="32">
        <f>(Kontrak!$B$6*M29)+(Kontrak!$B$4*X29)+(Kontrak!$B$2*AG29)+(Kontrak!$B$3*AP29)+(Kontrak!$B$5*AQ29)</f>
        <v>87.464285714285708</v>
      </c>
      <c r="AS29" s="36">
        <v>89</v>
      </c>
      <c r="AT29" s="36"/>
      <c r="AU29" s="36">
        <v>85</v>
      </c>
      <c r="AV29" s="36">
        <v>86</v>
      </c>
      <c r="AW29" s="36">
        <v>86</v>
      </c>
      <c r="AX29" s="36">
        <v>86</v>
      </c>
      <c r="AY29" s="36">
        <v>86</v>
      </c>
      <c r="AZ29" s="36">
        <v>86</v>
      </c>
      <c r="BA29" s="33">
        <v>91</v>
      </c>
      <c r="BB29" s="33">
        <v>91</v>
      </c>
      <c r="BC29" s="33">
        <v>91</v>
      </c>
      <c r="BD29" s="33">
        <v>91</v>
      </c>
      <c r="BE29" s="33">
        <v>91</v>
      </c>
      <c r="BF29" s="33">
        <v>91</v>
      </c>
      <c r="BG29" s="33">
        <v>84</v>
      </c>
      <c r="BH29" s="33">
        <v>84</v>
      </c>
    </row>
    <row r="30" spans="1:60" ht="13.8" x14ac:dyDescent="0.3">
      <c r="A30" s="29">
        <v>60200125113</v>
      </c>
      <c r="B30" s="39" t="s">
        <v>97</v>
      </c>
      <c r="C30" s="17">
        <v>1</v>
      </c>
      <c r="D30" s="17">
        <v>1</v>
      </c>
      <c r="E30" s="17">
        <v>1</v>
      </c>
      <c r="F30" s="17">
        <f t="shared" ref="F30:J30" si="51">IF(AA30&gt;0,1,0)</f>
        <v>1</v>
      </c>
      <c r="G30" s="17">
        <f t="shared" si="51"/>
        <v>1</v>
      </c>
      <c r="H30" s="17">
        <f t="shared" si="51"/>
        <v>1</v>
      </c>
      <c r="I30" s="17">
        <f t="shared" si="51"/>
        <v>1</v>
      </c>
      <c r="J30" s="17">
        <f t="shared" si="51"/>
        <v>1</v>
      </c>
      <c r="K30" s="17"/>
      <c r="L30" s="17"/>
      <c r="M30" s="21">
        <f t="shared" si="1"/>
        <v>80</v>
      </c>
      <c r="N30" s="22">
        <v>0</v>
      </c>
      <c r="O30" s="22">
        <v>0</v>
      </c>
      <c r="P30" s="22">
        <v>0</v>
      </c>
      <c r="Q30" s="22">
        <v>100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100</v>
      </c>
      <c r="X30" s="26">
        <f t="shared" si="2"/>
        <v>20</v>
      </c>
      <c r="Y30" s="27">
        <v>80</v>
      </c>
      <c r="Z30" s="27">
        <v>100</v>
      </c>
      <c r="AA30" s="27">
        <v>80</v>
      </c>
      <c r="AB30" s="27">
        <v>100</v>
      </c>
      <c r="AC30" s="27">
        <v>87</v>
      </c>
      <c r="AD30" s="27">
        <v>100</v>
      </c>
      <c r="AE30" s="27">
        <v>100</v>
      </c>
      <c r="AF30" s="27">
        <v>100</v>
      </c>
      <c r="AG30" s="28">
        <f t="shared" si="3"/>
        <v>106.71428571428571</v>
      </c>
      <c r="AH30" s="22">
        <f t="shared" si="45"/>
        <v>90</v>
      </c>
      <c r="AI30" s="22">
        <v>80</v>
      </c>
      <c r="AJ30" s="18">
        <v>85</v>
      </c>
      <c r="AK30" s="22">
        <f t="shared" ref="AK30:AO30" si="52">(AV30+BD30)/2</f>
        <v>89</v>
      </c>
      <c r="AL30" s="22">
        <f t="shared" si="52"/>
        <v>89</v>
      </c>
      <c r="AM30" s="22">
        <f t="shared" si="52"/>
        <v>88</v>
      </c>
      <c r="AN30" s="22">
        <f t="shared" si="52"/>
        <v>43.5</v>
      </c>
      <c r="AO30" s="22">
        <f t="shared" si="52"/>
        <v>42</v>
      </c>
      <c r="AP30" s="30">
        <f t="shared" si="4"/>
        <v>86.642857142857139</v>
      </c>
      <c r="AQ30" s="31">
        <f>IFERROR(VLOOKUP(A30, PENILAIAN_UAS!A25:B134, 2, FALSE), "NULL")</f>
        <v>86</v>
      </c>
      <c r="AR30" s="32">
        <f>(Kontrak!$B$6*M30)+(Kontrak!$B$4*X30)+(Kontrak!$B$2*AG30)+(Kontrak!$B$3*AP30)+(Kontrak!$B$5*AQ30)</f>
        <v>83.135714285714286</v>
      </c>
      <c r="AS30" s="36">
        <v>89</v>
      </c>
      <c r="AT30" s="36">
        <v>80</v>
      </c>
      <c r="AU30" s="36">
        <v>85</v>
      </c>
      <c r="AV30" s="36">
        <v>87</v>
      </c>
      <c r="AW30" s="36">
        <v>87</v>
      </c>
      <c r="AX30" s="36">
        <v>85</v>
      </c>
      <c r="AY30" s="36">
        <v>87</v>
      </c>
      <c r="AZ30" s="36">
        <v>84</v>
      </c>
      <c r="BA30" s="33">
        <v>91</v>
      </c>
      <c r="BB30" s="33">
        <v>91</v>
      </c>
      <c r="BC30" s="33">
        <v>91</v>
      </c>
      <c r="BD30" s="33">
        <v>91</v>
      </c>
      <c r="BE30" s="33">
        <v>91</v>
      </c>
      <c r="BF30" s="33">
        <v>91</v>
      </c>
      <c r="BG30" s="33"/>
      <c r="BH30" s="33"/>
    </row>
    <row r="31" spans="1:60" ht="13.8" x14ac:dyDescent="0.3">
      <c r="A31" s="23">
        <v>60200125115</v>
      </c>
      <c r="B31" s="39" t="s">
        <v>100</v>
      </c>
      <c r="C31" s="17"/>
      <c r="D31" s="17">
        <v>1</v>
      </c>
      <c r="E31" s="17">
        <v>1</v>
      </c>
      <c r="F31" s="17">
        <f t="shared" ref="F31:J31" si="53">IF(AA31&gt;0,1,0)</f>
        <v>1</v>
      </c>
      <c r="G31" s="17">
        <f t="shared" si="53"/>
        <v>1</v>
      </c>
      <c r="H31" s="17">
        <f t="shared" si="53"/>
        <v>1</v>
      </c>
      <c r="I31" s="17">
        <f t="shared" si="53"/>
        <v>1</v>
      </c>
      <c r="J31" s="17">
        <f t="shared" si="53"/>
        <v>1</v>
      </c>
      <c r="K31" s="17"/>
      <c r="L31" s="17"/>
      <c r="M31" s="21">
        <f t="shared" si="1"/>
        <v>70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100</v>
      </c>
      <c r="X31" s="26">
        <f t="shared" si="2"/>
        <v>10</v>
      </c>
      <c r="Y31" s="27">
        <v>83</v>
      </c>
      <c r="Z31" s="27">
        <v>100</v>
      </c>
      <c r="AA31" s="27">
        <v>80</v>
      </c>
      <c r="AB31" s="27">
        <v>100</v>
      </c>
      <c r="AC31" s="27">
        <v>87</v>
      </c>
      <c r="AD31" s="27">
        <v>100</v>
      </c>
      <c r="AE31" s="27">
        <v>86</v>
      </c>
      <c r="AF31" s="27">
        <v>100</v>
      </c>
      <c r="AG31" s="28">
        <f t="shared" si="3"/>
        <v>105.14285714285714</v>
      </c>
      <c r="AH31" s="22">
        <v>80</v>
      </c>
      <c r="AI31" s="22">
        <v>79</v>
      </c>
      <c r="AJ31" s="22">
        <f t="shared" ref="AJ31:AO31" si="54">(AU31+BC31)/2</f>
        <v>89</v>
      </c>
      <c r="AK31" s="22">
        <f t="shared" si="54"/>
        <v>41.5</v>
      </c>
      <c r="AL31" s="22">
        <f t="shared" si="54"/>
        <v>42.5</v>
      </c>
      <c r="AM31" s="22">
        <f t="shared" si="54"/>
        <v>42.5</v>
      </c>
      <c r="AN31" s="22">
        <f t="shared" si="54"/>
        <v>43.5</v>
      </c>
      <c r="AO31" s="22">
        <f t="shared" si="54"/>
        <v>43</v>
      </c>
      <c r="AP31" s="30">
        <f t="shared" si="4"/>
        <v>65.857142857142861</v>
      </c>
      <c r="AQ31" s="31">
        <f>IFERROR(VLOOKUP(A31, PENILAIAN_UAS!A26:B135, 2, FALSE), "NULL")</f>
        <v>81</v>
      </c>
      <c r="AR31" s="32">
        <v>80</v>
      </c>
      <c r="AS31" s="36"/>
      <c r="AT31" s="36">
        <v>79</v>
      </c>
      <c r="AU31" s="36">
        <v>87</v>
      </c>
      <c r="AV31" s="36">
        <v>83</v>
      </c>
      <c r="AW31" s="36">
        <v>85</v>
      </c>
      <c r="AX31" s="36">
        <v>85</v>
      </c>
      <c r="AY31" s="36">
        <v>87</v>
      </c>
      <c r="AZ31" s="36">
        <v>86</v>
      </c>
      <c r="BA31" s="33">
        <v>91</v>
      </c>
      <c r="BB31" s="33">
        <v>91</v>
      </c>
      <c r="BC31" s="33">
        <v>91</v>
      </c>
      <c r="BD31" s="33"/>
      <c r="BE31" s="33"/>
      <c r="BF31" s="33"/>
      <c r="BG31" s="33"/>
      <c r="BH31" s="33"/>
    </row>
    <row r="32" spans="1:60" ht="13.8" x14ac:dyDescent="0.3">
      <c r="A32" s="29">
        <v>60200125123</v>
      </c>
      <c r="B32" s="39" t="s">
        <v>102</v>
      </c>
      <c r="C32" s="17">
        <v>1</v>
      </c>
      <c r="D32" s="17">
        <v>1</v>
      </c>
      <c r="E32" s="17">
        <v>1</v>
      </c>
      <c r="F32" s="17">
        <f t="shared" ref="F32:J32" si="55">IF(AA32&gt;0,1,0)</f>
        <v>1</v>
      </c>
      <c r="G32" s="17">
        <f t="shared" si="55"/>
        <v>1</v>
      </c>
      <c r="H32" s="17">
        <f t="shared" si="55"/>
        <v>1</v>
      </c>
      <c r="I32" s="17">
        <f t="shared" si="55"/>
        <v>1</v>
      </c>
      <c r="J32" s="17">
        <f t="shared" si="55"/>
        <v>1</v>
      </c>
      <c r="K32" s="17"/>
      <c r="L32" s="17"/>
      <c r="M32" s="21">
        <f t="shared" si="1"/>
        <v>80</v>
      </c>
      <c r="N32" s="22">
        <v>0</v>
      </c>
      <c r="O32" s="22">
        <v>0</v>
      </c>
      <c r="P32" s="22">
        <v>0</v>
      </c>
      <c r="Q32" s="22">
        <v>90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100</v>
      </c>
      <c r="X32" s="26">
        <f t="shared" si="2"/>
        <v>19</v>
      </c>
      <c r="Y32" s="27">
        <v>80</v>
      </c>
      <c r="Z32" s="27">
        <v>100</v>
      </c>
      <c r="AA32" s="27">
        <v>87</v>
      </c>
      <c r="AB32" s="27">
        <v>100</v>
      </c>
      <c r="AC32" s="27">
        <v>87</v>
      </c>
      <c r="AD32" s="27">
        <v>100</v>
      </c>
      <c r="AE32" s="27">
        <v>87</v>
      </c>
      <c r="AF32" s="27">
        <v>87</v>
      </c>
      <c r="AG32" s="28">
        <f t="shared" si="3"/>
        <v>104</v>
      </c>
      <c r="AH32" s="22">
        <f t="shared" ref="AH32:AO32" si="56">(AS32+BA32)/2</f>
        <v>86.5</v>
      </c>
      <c r="AI32" s="22">
        <f t="shared" si="56"/>
        <v>89</v>
      </c>
      <c r="AJ32" s="22">
        <f t="shared" si="56"/>
        <v>89.5</v>
      </c>
      <c r="AK32" s="22">
        <f t="shared" si="56"/>
        <v>89</v>
      </c>
      <c r="AL32" s="22">
        <f t="shared" si="56"/>
        <v>88.5</v>
      </c>
      <c r="AM32" s="22">
        <f t="shared" si="56"/>
        <v>88</v>
      </c>
      <c r="AN32" s="22">
        <f t="shared" si="56"/>
        <v>43.5</v>
      </c>
      <c r="AO32" s="22">
        <f t="shared" si="56"/>
        <v>43</v>
      </c>
      <c r="AP32" s="30">
        <f t="shared" si="4"/>
        <v>88.142857142857139</v>
      </c>
      <c r="AQ32" s="31">
        <f>IFERROR(VLOOKUP(A32, PENILAIAN_UAS!A27:B136, 2, FALSE), "NULL")</f>
        <v>85</v>
      </c>
      <c r="AR32" s="32">
        <f>(Kontrak!$B$6*M32)+(Kontrak!$B$4*X32)+(Kontrak!$B$2*AG32)+(Kontrak!$B$3*AP32)+(Kontrak!$B$5*AQ32)</f>
        <v>82.642857142857139</v>
      </c>
      <c r="AS32" s="36">
        <v>82</v>
      </c>
      <c r="AT32" s="36">
        <v>87</v>
      </c>
      <c r="AU32" s="36">
        <v>88</v>
      </c>
      <c r="AV32" s="36">
        <v>87</v>
      </c>
      <c r="AW32" s="36">
        <v>86</v>
      </c>
      <c r="AX32" s="36">
        <v>85</v>
      </c>
      <c r="AY32" s="36">
        <v>87</v>
      </c>
      <c r="AZ32" s="36">
        <v>86</v>
      </c>
      <c r="BA32" s="33">
        <v>91</v>
      </c>
      <c r="BB32" s="33">
        <v>91</v>
      </c>
      <c r="BC32" s="33">
        <v>91</v>
      </c>
      <c r="BD32" s="33">
        <v>91</v>
      </c>
      <c r="BE32" s="33">
        <v>91</v>
      </c>
      <c r="BF32" s="33">
        <v>91</v>
      </c>
      <c r="BG32" s="33"/>
      <c r="BH32" s="33"/>
    </row>
    <row r="33" spans="1:60" ht="13.8" x14ac:dyDescent="0.3">
      <c r="A33" s="14">
        <v>60200125124</v>
      </c>
      <c r="B33" s="39" t="s">
        <v>104</v>
      </c>
      <c r="C33" s="17"/>
      <c r="D33" s="17">
        <v>1</v>
      </c>
      <c r="E33" s="17">
        <v>1</v>
      </c>
      <c r="F33" s="17">
        <f t="shared" ref="F33:J33" si="57">IF(AA33&gt;0,1,0)</f>
        <v>0</v>
      </c>
      <c r="G33" s="17">
        <f t="shared" si="57"/>
        <v>0</v>
      </c>
      <c r="H33" s="17">
        <f t="shared" si="57"/>
        <v>0</v>
      </c>
      <c r="I33" s="17">
        <f t="shared" si="57"/>
        <v>1</v>
      </c>
      <c r="J33" s="17">
        <f t="shared" si="57"/>
        <v>0</v>
      </c>
      <c r="K33" s="17"/>
      <c r="L33" s="17"/>
      <c r="M33" s="21">
        <f t="shared" si="1"/>
        <v>30</v>
      </c>
      <c r="N33" s="22">
        <v>0</v>
      </c>
      <c r="O33" s="22">
        <v>0</v>
      </c>
      <c r="P33" s="22">
        <v>0</v>
      </c>
      <c r="Q33" s="22">
        <v>90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100</v>
      </c>
      <c r="X33" s="26">
        <f t="shared" si="2"/>
        <v>19</v>
      </c>
      <c r="Y33" s="27">
        <v>0</v>
      </c>
      <c r="Z33" s="27">
        <v>75</v>
      </c>
      <c r="AA33" s="27">
        <v>0</v>
      </c>
      <c r="AB33" s="27">
        <v>0</v>
      </c>
      <c r="AC33" s="27">
        <v>0</v>
      </c>
      <c r="AD33" s="27">
        <v>100</v>
      </c>
      <c r="AE33" s="27">
        <v>0</v>
      </c>
      <c r="AF33" s="27">
        <v>0</v>
      </c>
      <c r="AG33" s="28">
        <f t="shared" si="3"/>
        <v>25</v>
      </c>
      <c r="AH33" s="22">
        <f t="shared" ref="AH33:AH34" si="58">(AS33+BA33)/2</f>
        <v>0</v>
      </c>
      <c r="AI33" s="22">
        <v>0</v>
      </c>
      <c r="AJ33" s="22">
        <v>0</v>
      </c>
      <c r="AK33" s="22">
        <f t="shared" ref="AK33:AO33" si="59">(AV33+BD33)/2</f>
        <v>0</v>
      </c>
      <c r="AL33" s="22">
        <f t="shared" si="59"/>
        <v>0</v>
      </c>
      <c r="AM33" s="22">
        <f t="shared" si="59"/>
        <v>0</v>
      </c>
      <c r="AN33" s="22">
        <f t="shared" si="59"/>
        <v>0</v>
      </c>
      <c r="AO33" s="22">
        <f t="shared" si="59"/>
        <v>0</v>
      </c>
      <c r="AP33" s="30">
        <f t="shared" si="4"/>
        <v>0</v>
      </c>
      <c r="AQ33" s="31">
        <f>IFERROR(VLOOKUP(A33, PENILAIAN_UAS!A28:B137, 2, FALSE), "NULL")</f>
        <v>86</v>
      </c>
      <c r="AR33" s="32">
        <f>(Kontrak!$B$6*M33)+(Kontrak!$B$4*X33)+(Kontrak!$B$2*AG33)+(Kontrak!$B$3*AP33)+(Kontrak!$B$5*AQ33)</f>
        <v>35.700000000000003</v>
      </c>
      <c r="AS33" s="36"/>
      <c r="AT33" s="36"/>
      <c r="AU33" s="36"/>
      <c r="AV33" s="36"/>
      <c r="AW33" s="36"/>
      <c r="AX33" s="36"/>
      <c r="AY33" s="36"/>
      <c r="AZ33" s="36"/>
      <c r="BA33" s="33"/>
      <c r="BB33" s="33"/>
      <c r="BC33" s="33"/>
      <c r="BD33" s="33"/>
      <c r="BE33" s="33"/>
      <c r="BF33" s="33"/>
      <c r="BG33" s="33"/>
      <c r="BH33" s="33"/>
    </row>
    <row r="34" spans="1:60" ht="13.8" x14ac:dyDescent="0.3">
      <c r="A34" s="29">
        <v>60200125125</v>
      </c>
      <c r="B34" s="39" t="s">
        <v>107</v>
      </c>
      <c r="C34" s="17"/>
      <c r="D34" s="17">
        <v>1</v>
      </c>
      <c r="E34" s="17">
        <v>1</v>
      </c>
      <c r="F34" s="17">
        <f t="shared" ref="F34:J34" si="60">IF(AA34&gt;0,1,0)</f>
        <v>0</v>
      </c>
      <c r="G34" s="17">
        <f t="shared" si="60"/>
        <v>1</v>
      </c>
      <c r="H34" s="17">
        <f t="shared" si="60"/>
        <v>0</v>
      </c>
      <c r="I34" s="17">
        <f t="shared" si="60"/>
        <v>1</v>
      </c>
      <c r="J34" s="17">
        <f t="shared" si="60"/>
        <v>1</v>
      </c>
      <c r="K34" s="17"/>
      <c r="L34" s="17"/>
      <c r="M34" s="21">
        <f t="shared" si="1"/>
        <v>50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100</v>
      </c>
      <c r="X34" s="26">
        <f t="shared" si="2"/>
        <v>10</v>
      </c>
      <c r="Y34" s="27">
        <v>84</v>
      </c>
      <c r="Z34" s="27">
        <v>100</v>
      </c>
      <c r="AA34" s="27"/>
      <c r="AB34" s="27">
        <v>100</v>
      </c>
      <c r="AC34" s="27">
        <v>0</v>
      </c>
      <c r="AD34" s="27">
        <v>100</v>
      </c>
      <c r="AE34" s="27">
        <v>87</v>
      </c>
      <c r="AF34" s="27">
        <v>100</v>
      </c>
      <c r="AG34" s="28">
        <f t="shared" si="3"/>
        <v>81.571428571428569</v>
      </c>
      <c r="AH34" s="22">
        <f t="shared" si="58"/>
        <v>90</v>
      </c>
      <c r="AI34" s="22">
        <f t="shared" ref="AI34:AO34" si="61">(AT34+BB34)/2</f>
        <v>88</v>
      </c>
      <c r="AJ34" s="22">
        <f t="shared" si="61"/>
        <v>89</v>
      </c>
      <c r="AK34" s="22">
        <f t="shared" si="61"/>
        <v>42</v>
      </c>
      <c r="AL34" s="22">
        <f t="shared" si="61"/>
        <v>40</v>
      </c>
      <c r="AM34" s="22">
        <f t="shared" si="61"/>
        <v>42.5</v>
      </c>
      <c r="AN34" s="22">
        <f t="shared" si="61"/>
        <v>42</v>
      </c>
      <c r="AO34" s="22">
        <f t="shared" si="61"/>
        <v>43</v>
      </c>
      <c r="AP34" s="30">
        <f t="shared" si="4"/>
        <v>68.071428571428569</v>
      </c>
      <c r="AQ34" s="31">
        <f>IFERROR(VLOOKUP(A34, PENILAIAN_UAS!A29:B138, 2, FALSE), "NULL")</f>
        <v>0</v>
      </c>
      <c r="AR34" s="32">
        <v>80</v>
      </c>
      <c r="AS34" s="36">
        <v>89</v>
      </c>
      <c r="AT34" s="36">
        <v>85</v>
      </c>
      <c r="AU34" s="36">
        <v>87</v>
      </c>
      <c r="AV34" s="36">
        <v>84</v>
      </c>
      <c r="AW34" s="36">
        <v>80</v>
      </c>
      <c r="AX34" s="36">
        <v>85</v>
      </c>
      <c r="AY34" s="36">
        <v>84</v>
      </c>
      <c r="AZ34" s="36">
        <v>86</v>
      </c>
      <c r="BA34" s="33">
        <v>91</v>
      </c>
      <c r="BB34" s="33">
        <v>91</v>
      </c>
      <c r="BC34" s="33">
        <v>91</v>
      </c>
      <c r="BD34" s="33"/>
      <c r="BE34" s="33"/>
      <c r="BF34" s="33"/>
      <c r="BG34" s="33"/>
      <c r="BH34" s="33"/>
    </row>
    <row r="35" spans="1:60" ht="13.8" x14ac:dyDescent="0.3">
      <c r="A35" s="29">
        <v>60200125126</v>
      </c>
      <c r="B35" s="39" t="s">
        <v>109</v>
      </c>
      <c r="C35" s="17">
        <v>1</v>
      </c>
      <c r="D35" s="17">
        <v>1</v>
      </c>
      <c r="E35" s="17">
        <v>1</v>
      </c>
      <c r="F35" s="17">
        <f t="shared" ref="F35:J35" si="62">IF(AA35&gt;0,1,0)</f>
        <v>1</v>
      </c>
      <c r="G35" s="17">
        <f t="shared" si="62"/>
        <v>1</v>
      </c>
      <c r="H35" s="17">
        <f t="shared" si="62"/>
        <v>1</v>
      </c>
      <c r="I35" s="17">
        <f t="shared" si="62"/>
        <v>1</v>
      </c>
      <c r="J35" s="17">
        <f t="shared" si="62"/>
        <v>1</v>
      </c>
      <c r="K35" s="17"/>
      <c r="L35" s="17"/>
      <c r="M35" s="21">
        <f t="shared" si="1"/>
        <v>80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100</v>
      </c>
      <c r="X35" s="26">
        <f t="shared" si="2"/>
        <v>10</v>
      </c>
      <c r="Y35" s="27">
        <v>100</v>
      </c>
      <c r="Z35" s="27">
        <v>80</v>
      </c>
      <c r="AA35" s="27">
        <v>100</v>
      </c>
      <c r="AB35" s="27">
        <v>84</v>
      </c>
      <c r="AC35" s="27">
        <v>100</v>
      </c>
      <c r="AD35" s="27">
        <v>100</v>
      </c>
      <c r="AE35" s="27">
        <v>100</v>
      </c>
      <c r="AF35" s="27">
        <v>87</v>
      </c>
      <c r="AG35" s="28">
        <f t="shared" si="3"/>
        <v>107.28571428571429</v>
      </c>
      <c r="AH35" s="22">
        <v>80</v>
      </c>
      <c r="AI35" s="22">
        <f t="shared" ref="AI35:AO35" si="63">(AT35+BB35)/2</f>
        <v>85.5</v>
      </c>
      <c r="AJ35" s="22">
        <f t="shared" si="63"/>
        <v>42.5</v>
      </c>
      <c r="AK35" s="22">
        <f t="shared" si="63"/>
        <v>42</v>
      </c>
      <c r="AL35" s="22">
        <f t="shared" si="63"/>
        <v>43</v>
      </c>
      <c r="AM35" s="22">
        <f t="shared" si="63"/>
        <v>42.5</v>
      </c>
      <c r="AN35" s="22">
        <f t="shared" si="63"/>
        <v>43.5</v>
      </c>
      <c r="AO35" s="22">
        <f t="shared" si="63"/>
        <v>43</v>
      </c>
      <c r="AP35" s="30">
        <f t="shared" si="4"/>
        <v>60.285714285714285</v>
      </c>
      <c r="AQ35" s="31">
        <f>IFERROR(VLOOKUP(A35, PENILAIAN_UAS!A30:B139, 2, FALSE), "NULL")</f>
        <v>86</v>
      </c>
      <c r="AR35" s="32">
        <v>80</v>
      </c>
      <c r="AS35" s="36">
        <v>80</v>
      </c>
      <c r="AT35" s="36">
        <v>80</v>
      </c>
      <c r="AU35" s="36">
        <v>85</v>
      </c>
      <c r="AV35" s="36">
        <v>84</v>
      </c>
      <c r="AW35" s="36">
        <v>86</v>
      </c>
      <c r="AX35" s="36">
        <v>85</v>
      </c>
      <c r="AY35" s="36">
        <v>87</v>
      </c>
      <c r="AZ35" s="36">
        <v>86</v>
      </c>
      <c r="BA35" s="33">
        <v>91</v>
      </c>
      <c r="BB35" s="33">
        <v>91</v>
      </c>
      <c r="BC35" s="33"/>
      <c r="BD35" s="33"/>
      <c r="BE35" s="33"/>
      <c r="BF35" s="33"/>
      <c r="BG35" s="33"/>
      <c r="BH35" s="33"/>
    </row>
    <row r="36" spans="1:60" ht="13.8" x14ac:dyDescent="0.3">
      <c r="A36" s="29">
        <v>60200125127</v>
      </c>
      <c r="B36" s="39" t="s">
        <v>111</v>
      </c>
      <c r="C36" s="17">
        <v>1</v>
      </c>
      <c r="D36" s="17">
        <v>1</v>
      </c>
      <c r="E36" s="17">
        <v>1</v>
      </c>
      <c r="F36" s="17">
        <f t="shared" ref="F36:J36" si="64">IF(AA36&gt;0,1,0)</f>
        <v>1</v>
      </c>
      <c r="G36" s="17">
        <f t="shared" si="64"/>
        <v>0</v>
      </c>
      <c r="H36" s="17">
        <f t="shared" si="64"/>
        <v>0</v>
      </c>
      <c r="I36" s="17">
        <f t="shared" si="64"/>
        <v>1</v>
      </c>
      <c r="J36" s="17">
        <f t="shared" si="64"/>
        <v>0</v>
      </c>
      <c r="K36" s="17"/>
      <c r="L36" s="17"/>
      <c r="M36" s="21">
        <f t="shared" si="1"/>
        <v>50</v>
      </c>
      <c r="N36" s="22">
        <v>0</v>
      </c>
      <c r="O36" s="22">
        <v>0</v>
      </c>
      <c r="P36" s="22">
        <v>0</v>
      </c>
      <c r="Q36" s="22">
        <v>90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100</v>
      </c>
      <c r="X36" s="26">
        <f t="shared" si="2"/>
        <v>19</v>
      </c>
      <c r="Y36" s="27">
        <v>80</v>
      </c>
      <c r="Z36" s="27">
        <v>100</v>
      </c>
      <c r="AA36" s="27">
        <v>80</v>
      </c>
      <c r="AB36" s="27">
        <v>0</v>
      </c>
      <c r="AC36" s="27">
        <v>0</v>
      </c>
      <c r="AD36" s="27">
        <v>100</v>
      </c>
      <c r="AE36" s="27">
        <v>0</v>
      </c>
      <c r="AF36" s="27">
        <v>0</v>
      </c>
      <c r="AG36" s="28">
        <f t="shared" si="3"/>
        <v>51.428571428571431</v>
      </c>
      <c r="AH36" s="22">
        <f>(AS36+BA36)/2</f>
        <v>88</v>
      </c>
      <c r="AI36" s="22">
        <v>80</v>
      </c>
      <c r="AJ36" s="22">
        <f t="shared" ref="AJ36:AO36" si="65">(AU36+BC36)/2</f>
        <v>88</v>
      </c>
      <c r="AK36" s="22">
        <f t="shared" si="65"/>
        <v>0</v>
      </c>
      <c r="AL36" s="22">
        <f t="shared" si="65"/>
        <v>0</v>
      </c>
      <c r="AM36" s="22">
        <f t="shared" si="65"/>
        <v>0</v>
      </c>
      <c r="AN36" s="22">
        <f t="shared" si="65"/>
        <v>0</v>
      </c>
      <c r="AO36" s="22">
        <f t="shared" si="65"/>
        <v>0</v>
      </c>
      <c r="AP36" s="30">
        <f t="shared" si="4"/>
        <v>36.571428571428569</v>
      </c>
      <c r="AQ36" s="31">
        <f>IFERROR(VLOOKUP(A36, PENILAIAN_UAS!A31:B140, 2, FALSE), "NULL")</f>
        <v>0</v>
      </c>
      <c r="AR36" s="32">
        <f>(Kontrak!$B$6*M36)+(Kontrak!$B$4*X36)+(Kontrak!$B$2*AG36)+(Kontrak!$B$3*AP36)+(Kontrak!$B$5*AQ36)</f>
        <v>28.157142857142858</v>
      </c>
      <c r="AS36" s="36">
        <v>85</v>
      </c>
      <c r="AT36" s="36"/>
      <c r="AU36" s="36">
        <v>85</v>
      </c>
      <c r="AV36" s="36"/>
      <c r="AW36" s="36"/>
      <c r="AX36" s="36"/>
      <c r="AY36" s="36"/>
      <c r="AZ36" s="36"/>
      <c r="BA36" s="33">
        <v>91</v>
      </c>
      <c r="BB36" s="33">
        <v>91</v>
      </c>
      <c r="BC36" s="33">
        <v>91</v>
      </c>
      <c r="BD36" s="33"/>
      <c r="BE36" s="33"/>
      <c r="BF36" s="33"/>
      <c r="BG36" s="33"/>
      <c r="BH36" s="33"/>
    </row>
    <row r="37" spans="1:60" ht="13.8" x14ac:dyDescent="0.3">
      <c r="A37" s="29">
        <v>60200125128</v>
      </c>
      <c r="B37" s="39" t="s">
        <v>113</v>
      </c>
      <c r="C37" s="17">
        <v>1</v>
      </c>
      <c r="D37" s="17">
        <v>1</v>
      </c>
      <c r="E37" s="17">
        <v>1</v>
      </c>
      <c r="F37" s="17">
        <f t="shared" ref="F37:J37" si="66">IF(AA37&gt;0,1,0)</f>
        <v>1</v>
      </c>
      <c r="G37" s="17">
        <f t="shared" si="66"/>
        <v>1</v>
      </c>
      <c r="H37" s="17">
        <f t="shared" si="66"/>
        <v>1</v>
      </c>
      <c r="I37" s="17">
        <f t="shared" si="66"/>
        <v>1</v>
      </c>
      <c r="J37" s="17">
        <f t="shared" si="66"/>
        <v>1</v>
      </c>
      <c r="K37" s="17"/>
      <c r="L37" s="17"/>
      <c r="M37" s="21">
        <f t="shared" si="1"/>
        <v>80</v>
      </c>
      <c r="N37" s="22">
        <v>0</v>
      </c>
      <c r="O37" s="22">
        <v>0</v>
      </c>
      <c r="P37" s="22">
        <v>0</v>
      </c>
      <c r="Q37" s="22">
        <v>90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6">
        <f t="shared" si="2"/>
        <v>9</v>
      </c>
      <c r="Y37" s="27">
        <v>100</v>
      </c>
      <c r="Z37" s="27">
        <v>80</v>
      </c>
      <c r="AA37" s="27">
        <v>100</v>
      </c>
      <c r="AB37" s="27">
        <v>80</v>
      </c>
      <c r="AC37" s="27">
        <v>100</v>
      </c>
      <c r="AD37" s="27">
        <v>100</v>
      </c>
      <c r="AE37" s="27">
        <v>100</v>
      </c>
      <c r="AF37" s="27">
        <v>80</v>
      </c>
      <c r="AG37" s="28">
        <f t="shared" si="3"/>
        <v>105.71428571428571</v>
      </c>
      <c r="AH37" s="22">
        <v>85.5</v>
      </c>
      <c r="AI37" s="22">
        <f t="shared" ref="AI37:AO37" si="67">(AT37+BB37)/2</f>
        <v>41</v>
      </c>
      <c r="AJ37" s="22">
        <f t="shared" si="67"/>
        <v>44</v>
      </c>
      <c r="AK37" s="22">
        <f t="shared" si="67"/>
        <v>40.5</v>
      </c>
      <c r="AL37" s="22">
        <f t="shared" si="67"/>
        <v>40.5</v>
      </c>
      <c r="AM37" s="22">
        <f t="shared" si="67"/>
        <v>42.5</v>
      </c>
      <c r="AN37" s="22">
        <f t="shared" si="67"/>
        <v>43</v>
      </c>
      <c r="AO37" s="22">
        <f t="shared" si="67"/>
        <v>39.5</v>
      </c>
      <c r="AP37" s="30">
        <f t="shared" si="4"/>
        <v>53.785714285714285</v>
      </c>
      <c r="AQ37" s="31">
        <f>IFERROR(VLOOKUP(A37, PENILAIAN_UAS!A32:B141, 2, FALSE), "NULL")</f>
        <v>81</v>
      </c>
      <c r="AR37" s="32">
        <v>80</v>
      </c>
      <c r="AS37" s="36"/>
      <c r="AT37" s="36">
        <v>82</v>
      </c>
      <c r="AU37" s="36">
        <v>88</v>
      </c>
      <c r="AV37" s="36">
        <v>81</v>
      </c>
      <c r="AW37" s="36">
        <v>81</v>
      </c>
      <c r="AX37" s="36">
        <v>85</v>
      </c>
      <c r="AY37" s="36">
        <v>86</v>
      </c>
      <c r="AZ37" s="18">
        <v>79</v>
      </c>
      <c r="BA37" s="33">
        <v>91</v>
      </c>
      <c r="BB37" s="33"/>
      <c r="BC37" s="33"/>
      <c r="BD37" s="33"/>
      <c r="BE37" s="33"/>
      <c r="BF37" s="33"/>
      <c r="BG37" s="33"/>
      <c r="BH37" s="33"/>
    </row>
    <row r="38" spans="1:60" ht="13.8" x14ac:dyDescent="0.3">
      <c r="A38" s="29">
        <v>60200125129</v>
      </c>
      <c r="B38" s="39" t="s">
        <v>114</v>
      </c>
      <c r="C38" s="17">
        <v>1</v>
      </c>
      <c r="D38" s="17">
        <v>1</v>
      </c>
      <c r="E38" s="17">
        <v>1</v>
      </c>
      <c r="F38" s="17">
        <f t="shared" ref="F38:J38" si="68">IF(AA38&gt;0,1,0)</f>
        <v>1</v>
      </c>
      <c r="G38" s="17">
        <f t="shared" si="68"/>
        <v>1</v>
      </c>
      <c r="H38" s="17">
        <f t="shared" si="68"/>
        <v>1</v>
      </c>
      <c r="I38" s="17">
        <f t="shared" si="68"/>
        <v>1</v>
      </c>
      <c r="J38" s="17">
        <f t="shared" si="68"/>
        <v>1</v>
      </c>
      <c r="K38" s="17"/>
      <c r="L38" s="17"/>
      <c r="M38" s="21">
        <f t="shared" si="1"/>
        <v>80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100</v>
      </c>
      <c r="X38" s="26">
        <f t="shared" si="2"/>
        <v>10</v>
      </c>
      <c r="Y38" s="27">
        <v>83</v>
      </c>
      <c r="Z38" s="27">
        <v>100</v>
      </c>
      <c r="AA38" s="27">
        <v>80</v>
      </c>
      <c r="AB38" s="27">
        <v>100</v>
      </c>
      <c r="AC38" s="27">
        <v>85</v>
      </c>
      <c r="AD38" s="27">
        <v>100</v>
      </c>
      <c r="AE38" s="27">
        <v>86</v>
      </c>
      <c r="AF38" s="27">
        <v>100</v>
      </c>
      <c r="AG38" s="28">
        <f t="shared" si="3"/>
        <v>104.85714285714286</v>
      </c>
      <c r="AH38" s="22">
        <v>90</v>
      </c>
      <c r="AI38" s="22" t="s">
        <v>36</v>
      </c>
      <c r="AJ38" s="22">
        <f t="shared" ref="AJ38:AO38" si="69">(AU38+BC38)/2</f>
        <v>89.5</v>
      </c>
      <c r="AK38" s="22">
        <f t="shared" si="69"/>
        <v>41.5</v>
      </c>
      <c r="AL38" s="22">
        <f t="shared" si="69"/>
        <v>40</v>
      </c>
      <c r="AM38" s="22">
        <f t="shared" si="69"/>
        <v>42.5</v>
      </c>
      <c r="AN38" s="22">
        <f t="shared" si="69"/>
        <v>42</v>
      </c>
      <c r="AO38" s="22">
        <f t="shared" si="69"/>
        <v>43</v>
      </c>
      <c r="AP38" s="30">
        <f t="shared" si="4"/>
        <v>55.5</v>
      </c>
      <c r="AQ38" s="31">
        <f>IFERROR(VLOOKUP(A38, PENILAIAN_UAS!A33:B142, 2, FALSE), "NULL")</f>
        <v>86</v>
      </c>
      <c r="AR38" s="32">
        <v>80</v>
      </c>
      <c r="AS38" s="36"/>
      <c r="AT38" s="36"/>
      <c r="AU38" s="36">
        <v>88</v>
      </c>
      <c r="AV38" s="36">
        <v>83</v>
      </c>
      <c r="AW38" s="36">
        <v>80</v>
      </c>
      <c r="AX38" s="36">
        <v>85</v>
      </c>
      <c r="AY38" s="36">
        <v>84</v>
      </c>
      <c r="AZ38" s="36">
        <v>86</v>
      </c>
      <c r="BA38" s="33">
        <v>91</v>
      </c>
      <c r="BB38" s="33">
        <v>91</v>
      </c>
      <c r="BC38" s="33">
        <v>91</v>
      </c>
      <c r="BD38" s="33"/>
      <c r="BE38" s="33"/>
      <c r="BF38" s="33"/>
      <c r="BG38" s="33"/>
      <c r="BH38" s="33"/>
    </row>
    <row r="39" spans="1:60" ht="13.8" x14ac:dyDescent="0.3">
      <c r="A39" s="29">
        <v>60200125153</v>
      </c>
      <c r="B39" s="39" t="s">
        <v>115</v>
      </c>
      <c r="C39" s="17">
        <v>1</v>
      </c>
      <c r="D39" s="17">
        <v>1</v>
      </c>
      <c r="E39" s="17">
        <v>1</v>
      </c>
      <c r="F39" s="17">
        <f t="shared" ref="F39:J39" si="70">IF(AA39&gt;0,1,0)</f>
        <v>1</v>
      </c>
      <c r="G39" s="17">
        <f t="shared" si="70"/>
        <v>0</v>
      </c>
      <c r="H39" s="17">
        <f t="shared" si="70"/>
        <v>0</v>
      </c>
      <c r="I39" s="17">
        <f t="shared" si="70"/>
        <v>1</v>
      </c>
      <c r="J39" s="17">
        <f t="shared" si="70"/>
        <v>0</v>
      </c>
      <c r="K39" s="17"/>
      <c r="L39" s="17"/>
      <c r="M39" s="21">
        <f t="shared" si="1"/>
        <v>50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6">
        <f t="shared" si="2"/>
        <v>0</v>
      </c>
      <c r="Y39" s="27">
        <v>0</v>
      </c>
      <c r="Z39" s="27">
        <v>0</v>
      </c>
      <c r="AA39" s="27">
        <v>80</v>
      </c>
      <c r="AB39" s="27">
        <v>0</v>
      </c>
      <c r="AC39" s="27">
        <v>0</v>
      </c>
      <c r="AD39" s="27">
        <v>100</v>
      </c>
      <c r="AE39" s="27">
        <v>0</v>
      </c>
      <c r="AF39" s="27">
        <v>0</v>
      </c>
      <c r="AG39" s="28">
        <f t="shared" si="3"/>
        <v>25.714285714285715</v>
      </c>
      <c r="AH39" s="22">
        <f t="shared" ref="AH39:AH40" si="71">(AS39+BA39)/2</f>
        <v>0</v>
      </c>
      <c r="AI39" s="22">
        <v>83</v>
      </c>
      <c r="AJ39" s="22">
        <f t="shared" ref="AJ39:AO39" si="72">(AU39+BC39)/2</f>
        <v>0</v>
      </c>
      <c r="AK39" s="22">
        <f t="shared" si="72"/>
        <v>0</v>
      </c>
      <c r="AL39" s="22">
        <f t="shared" si="72"/>
        <v>0</v>
      </c>
      <c r="AM39" s="22">
        <f t="shared" si="72"/>
        <v>0</v>
      </c>
      <c r="AN39" s="22">
        <f t="shared" si="72"/>
        <v>0</v>
      </c>
      <c r="AO39" s="22">
        <f t="shared" si="72"/>
        <v>0</v>
      </c>
      <c r="AP39" s="30">
        <f t="shared" si="4"/>
        <v>11.857142857142858</v>
      </c>
      <c r="AQ39" s="31">
        <f>IFERROR(VLOOKUP(A39, PENILAIAN_UAS!A34:B143, 2, FALSE), "NULL")</f>
        <v>0</v>
      </c>
      <c r="AR39" s="32">
        <f>(Kontrak!$B$6*M39)+(Kontrak!$B$4*X39)+(Kontrak!$B$2*AG39)+(Kontrak!$B$3*AP39)+(Kontrak!$B$5*AQ39)</f>
        <v>13.7</v>
      </c>
      <c r="AS39" s="36"/>
      <c r="AT39" s="36"/>
      <c r="AU39" s="36"/>
      <c r="AV39" s="36"/>
      <c r="AW39" s="36"/>
      <c r="AX39" s="36"/>
      <c r="AY39" s="36"/>
      <c r="AZ39" s="36"/>
      <c r="BA39" s="33"/>
      <c r="BB39" s="33"/>
      <c r="BC39" s="33"/>
      <c r="BD39" s="33"/>
      <c r="BE39" s="33"/>
      <c r="BF39" s="33"/>
      <c r="BG39" s="33"/>
      <c r="BH39" s="33"/>
    </row>
    <row r="40" spans="1:60" ht="13.8" x14ac:dyDescent="0.3">
      <c r="A40" s="29">
        <v>60200125155</v>
      </c>
      <c r="B40" s="39" t="s">
        <v>116</v>
      </c>
      <c r="C40" s="17">
        <v>1</v>
      </c>
      <c r="D40" s="17">
        <v>1</v>
      </c>
      <c r="E40" s="17">
        <v>1</v>
      </c>
      <c r="F40" s="17">
        <f t="shared" ref="F40:J40" si="73">IF(AA40&gt;0,1,0)</f>
        <v>1</v>
      </c>
      <c r="G40" s="17">
        <f t="shared" si="73"/>
        <v>1</v>
      </c>
      <c r="H40" s="17">
        <f t="shared" si="73"/>
        <v>1</v>
      </c>
      <c r="I40" s="17">
        <f t="shared" si="73"/>
        <v>1</v>
      </c>
      <c r="J40" s="17">
        <f t="shared" si="73"/>
        <v>0</v>
      </c>
      <c r="K40" s="17"/>
      <c r="L40" s="17"/>
      <c r="M40" s="21">
        <f t="shared" si="1"/>
        <v>70</v>
      </c>
      <c r="N40" s="22">
        <v>0</v>
      </c>
      <c r="O40" s="22">
        <v>0</v>
      </c>
      <c r="P40" s="22">
        <v>0</v>
      </c>
      <c r="Q40" s="22">
        <v>90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100</v>
      </c>
      <c r="X40" s="26">
        <f t="shared" si="2"/>
        <v>19</v>
      </c>
      <c r="Y40" s="27">
        <v>82</v>
      </c>
      <c r="Z40" s="27">
        <v>100</v>
      </c>
      <c r="AA40" s="27">
        <v>87</v>
      </c>
      <c r="AB40" s="27">
        <v>100</v>
      </c>
      <c r="AC40" s="27">
        <v>87</v>
      </c>
      <c r="AD40" s="27">
        <v>100</v>
      </c>
      <c r="AE40" s="27">
        <v>0</v>
      </c>
      <c r="AF40" s="27">
        <v>100</v>
      </c>
      <c r="AG40" s="28">
        <f t="shared" si="3"/>
        <v>93.714285714285708</v>
      </c>
      <c r="AH40" s="22">
        <f t="shared" si="71"/>
        <v>45.5</v>
      </c>
      <c r="AI40" s="22">
        <f t="shared" ref="AI40:AO40" si="74">(AT40+BB40)/2</f>
        <v>88</v>
      </c>
      <c r="AJ40" s="22">
        <f t="shared" si="74"/>
        <v>85.5</v>
      </c>
      <c r="AK40" s="22">
        <f t="shared" si="74"/>
        <v>42</v>
      </c>
      <c r="AL40" s="22">
        <f t="shared" si="74"/>
        <v>43</v>
      </c>
      <c r="AM40" s="22">
        <f t="shared" si="74"/>
        <v>43</v>
      </c>
      <c r="AN40" s="22">
        <f t="shared" si="74"/>
        <v>43</v>
      </c>
      <c r="AO40" s="22">
        <f t="shared" si="74"/>
        <v>42</v>
      </c>
      <c r="AP40" s="30">
        <f t="shared" si="4"/>
        <v>61.714285714285715</v>
      </c>
      <c r="AQ40" s="31">
        <f>IFERROR(VLOOKUP(A40, PENILAIAN_UAS!A35:B144, 2, FALSE), "NULL")</f>
        <v>88</v>
      </c>
      <c r="AR40" s="32">
        <v>80</v>
      </c>
      <c r="AS40" s="36"/>
      <c r="AT40" s="36">
        <v>85</v>
      </c>
      <c r="AU40" s="36">
        <v>80</v>
      </c>
      <c r="AV40" s="36">
        <v>84</v>
      </c>
      <c r="AW40" s="36">
        <v>86</v>
      </c>
      <c r="AX40" s="36">
        <v>86</v>
      </c>
      <c r="AY40" s="36">
        <v>86</v>
      </c>
      <c r="AZ40" s="36">
        <v>84</v>
      </c>
      <c r="BA40" s="33">
        <v>91</v>
      </c>
      <c r="BB40" s="33">
        <v>91</v>
      </c>
      <c r="BC40" s="33">
        <v>91</v>
      </c>
      <c r="BD40" s="33"/>
      <c r="BE40" s="33"/>
      <c r="BF40" s="33"/>
      <c r="BG40" s="33"/>
      <c r="BH40" s="33"/>
    </row>
  </sheetData>
  <mergeCells count="15">
    <mergeCell ref="AR5:AR6"/>
    <mergeCell ref="AS5:AZ5"/>
    <mergeCell ref="BA5:BH5"/>
    <mergeCell ref="A1:B4"/>
    <mergeCell ref="A5:A6"/>
    <mergeCell ref="B5:B6"/>
    <mergeCell ref="C5:L5"/>
    <mergeCell ref="M5:M6"/>
    <mergeCell ref="N5:W5"/>
    <mergeCell ref="X5:X6"/>
    <mergeCell ref="Y5:AF5"/>
    <mergeCell ref="AG5:AG6"/>
    <mergeCell ref="AH5:AO5"/>
    <mergeCell ref="AP5:AP6"/>
    <mergeCell ref="AQ5:AQ6"/>
  </mergeCells>
  <conditionalFormatting sqref="AI7:AI9 C7:L40 N7:W40 AH7:AH40 AJ7:AO40 AI11 AI13 AI15:AI40">
    <cfRule type="containsBlanks" dxfId="2" priority="1">
      <formula>LEN(TRIM(C7))=0</formula>
    </cfRule>
  </conditionalFormatting>
  <printOptions horizontalCentered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H40"/>
  <sheetViews>
    <sheetView workbookViewId="0">
      <pane xSplit="2" topLeftCell="C1" activePane="topRight" state="frozen"/>
      <selection pane="topRight" activeCell="AA22" sqref="AA22"/>
    </sheetView>
  </sheetViews>
  <sheetFormatPr defaultColWidth="12.6640625" defaultRowHeight="13.2" x14ac:dyDescent="0.25"/>
  <cols>
    <col min="1" max="1" width="12" bestFit="1" customWidth="1"/>
    <col min="2" max="2" width="25.21875" bestFit="1" customWidth="1"/>
    <col min="3" max="11" width="2" bestFit="1" customWidth="1"/>
    <col min="12" max="12" width="3" bestFit="1" customWidth="1"/>
    <col min="13" max="13" width="12.77734375" bestFit="1" customWidth="1"/>
    <col min="14" max="14" width="2" bestFit="1" customWidth="1"/>
    <col min="15" max="16" width="3" bestFit="1" customWidth="1"/>
    <col min="17" max="22" width="2" bestFit="1" customWidth="1"/>
    <col min="23" max="23" width="4" bestFit="1" customWidth="1"/>
    <col min="24" max="24" width="9.44140625" bestFit="1" customWidth="1"/>
    <col min="25" max="32" width="4" bestFit="1" customWidth="1"/>
    <col min="33" max="33" width="6.77734375" bestFit="1" customWidth="1"/>
    <col min="34" max="41" width="5" bestFit="1" customWidth="1"/>
    <col min="42" max="42" width="11.109375" bestFit="1" customWidth="1"/>
    <col min="43" max="43" width="8.109375" bestFit="1" customWidth="1"/>
    <col min="44" max="44" width="8.6640625" bestFit="1" customWidth="1"/>
    <col min="45" max="60" width="3" bestFit="1" customWidth="1"/>
  </cols>
  <sheetData>
    <row r="1" spans="1:60" ht="13.8" x14ac:dyDescent="0.3">
      <c r="A1" s="50" t="s">
        <v>2</v>
      </c>
      <c r="B1" s="43"/>
      <c r="C1" s="1"/>
      <c r="D1" s="1"/>
      <c r="E1" s="1"/>
      <c r="F1" s="1"/>
      <c r="G1" s="1"/>
      <c r="H1" s="1"/>
      <c r="I1" s="1"/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5"/>
      <c r="AH1" s="6"/>
      <c r="AI1" s="6"/>
      <c r="AJ1" s="7"/>
      <c r="AK1" s="7"/>
      <c r="AL1" s="7"/>
      <c r="AM1" s="7"/>
      <c r="AN1" s="7"/>
      <c r="AO1" s="7"/>
      <c r="AP1" s="5"/>
      <c r="AQ1" s="5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3.8" x14ac:dyDescent="0.3">
      <c r="A2" s="43"/>
      <c r="B2" s="43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5"/>
      <c r="AH2" s="8"/>
      <c r="AI2" s="8"/>
      <c r="AJ2" s="1"/>
      <c r="AK2" s="1"/>
      <c r="AL2" s="1"/>
      <c r="AM2" s="1"/>
      <c r="AN2" s="1"/>
      <c r="AO2" s="1"/>
      <c r="AP2" s="5"/>
      <c r="AQ2" s="5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ht="13.8" x14ac:dyDescent="0.3">
      <c r="A3" s="43"/>
      <c r="B3" s="43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5"/>
      <c r="AH3" s="8"/>
      <c r="AI3" s="8"/>
      <c r="AJ3" s="1"/>
      <c r="AK3" s="1"/>
      <c r="AL3" s="1"/>
      <c r="AM3" s="1"/>
      <c r="AN3" s="1"/>
      <c r="AO3" s="1"/>
      <c r="AP3" s="5"/>
      <c r="AQ3" s="5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spans="1:60" ht="13.8" x14ac:dyDescent="0.3">
      <c r="A4" s="43"/>
      <c r="B4" s="43"/>
      <c r="C4" s="1"/>
      <c r="D4" s="1"/>
      <c r="E4" s="1"/>
      <c r="F4" s="1"/>
      <c r="G4" s="1"/>
      <c r="H4" s="1"/>
      <c r="I4" s="1"/>
      <c r="J4" s="1"/>
      <c r="K4" s="1"/>
      <c r="L4" s="1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5"/>
      <c r="AH4" s="8"/>
      <c r="AI4" s="8"/>
      <c r="AJ4" s="1"/>
      <c r="AK4" s="1"/>
      <c r="AL4" s="1"/>
      <c r="AM4" s="1"/>
      <c r="AN4" s="1"/>
      <c r="AO4" s="1"/>
      <c r="AP4" s="5"/>
      <c r="AQ4" s="5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ht="13.8" x14ac:dyDescent="0.3">
      <c r="A5" s="51" t="s">
        <v>9</v>
      </c>
      <c r="B5" s="51" t="s">
        <v>10</v>
      </c>
      <c r="C5" s="53" t="s">
        <v>8</v>
      </c>
      <c r="D5" s="47"/>
      <c r="E5" s="47"/>
      <c r="F5" s="47"/>
      <c r="G5" s="47"/>
      <c r="H5" s="47"/>
      <c r="I5" s="47"/>
      <c r="J5" s="47"/>
      <c r="K5" s="47"/>
      <c r="L5" s="48"/>
      <c r="M5" s="60" t="s">
        <v>11</v>
      </c>
      <c r="N5" s="53" t="s">
        <v>6</v>
      </c>
      <c r="O5" s="47"/>
      <c r="P5" s="47"/>
      <c r="Q5" s="47"/>
      <c r="R5" s="47"/>
      <c r="S5" s="47"/>
      <c r="T5" s="47"/>
      <c r="U5" s="47"/>
      <c r="V5" s="47"/>
      <c r="W5" s="48"/>
      <c r="X5" s="55" t="s">
        <v>12</v>
      </c>
      <c r="Y5" s="53" t="s">
        <v>13</v>
      </c>
      <c r="Z5" s="47"/>
      <c r="AA5" s="47"/>
      <c r="AB5" s="47"/>
      <c r="AC5" s="47"/>
      <c r="AD5" s="47"/>
      <c r="AE5" s="47"/>
      <c r="AF5" s="48"/>
      <c r="AG5" s="56" t="s">
        <v>14</v>
      </c>
      <c r="AH5" s="53" t="s">
        <v>5</v>
      </c>
      <c r="AI5" s="47"/>
      <c r="AJ5" s="47"/>
      <c r="AK5" s="47"/>
      <c r="AL5" s="47"/>
      <c r="AM5" s="47"/>
      <c r="AN5" s="47"/>
      <c r="AO5" s="48"/>
      <c r="AP5" s="57" t="s">
        <v>15</v>
      </c>
      <c r="AQ5" s="58" t="s">
        <v>16</v>
      </c>
      <c r="AR5" s="44" t="s">
        <v>17</v>
      </c>
      <c r="AS5" s="59" t="s">
        <v>18</v>
      </c>
      <c r="AT5" s="47"/>
      <c r="AU5" s="47"/>
      <c r="AV5" s="47"/>
      <c r="AW5" s="47"/>
      <c r="AX5" s="47"/>
      <c r="AY5" s="47"/>
      <c r="AZ5" s="48"/>
      <c r="BA5" s="49" t="s">
        <v>19</v>
      </c>
      <c r="BB5" s="47"/>
      <c r="BC5" s="47"/>
      <c r="BD5" s="47"/>
      <c r="BE5" s="47"/>
      <c r="BF5" s="47"/>
      <c r="BG5" s="47"/>
      <c r="BH5" s="48"/>
    </row>
    <row r="6" spans="1:60" ht="13.8" x14ac:dyDescent="0.3">
      <c r="A6" s="52"/>
      <c r="B6" s="52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52"/>
      <c r="N6" s="9">
        <v>1</v>
      </c>
      <c r="O6" s="10">
        <v>2</v>
      </c>
      <c r="P6" s="10">
        <v>3</v>
      </c>
      <c r="Q6" s="10">
        <v>4</v>
      </c>
      <c r="R6" s="10">
        <v>5</v>
      </c>
      <c r="S6" s="10">
        <v>6</v>
      </c>
      <c r="T6" s="10">
        <v>7</v>
      </c>
      <c r="U6" s="10">
        <v>8</v>
      </c>
      <c r="V6" s="10">
        <v>9</v>
      </c>
      <c r="W6" s="10">
        <v>10</v>
      </c>
      <c r="X6" s="52"/>
      <c r="Y6" s="9">
        <v>1</v>
      </c>
      <c r="Z6" s="10">
        <v>2</v>
      </c>
      <c r="AA6" s="10">
        <v>3</v>
      </c>
      <c r="AB6" s="10">
        <v>4</v>
      </c>
      <c r="AC6" s="10">
        <v>5</v>
      </c>
      <c r="AD6" s="10">
        <v>6</v>
      </c>
      <c r="AE6" s="10">
        <v>7</v>
      </c>
      <c r="AF6" s="10">
        <v>8</v>
      </c>
      <c r="AG6" s="45"/>
      <c r="AH6" s="9">
        <v>1</v>
      </c>
      <c r="AI6" s="10">
        <v>2</v>
      </c>
      <c r="AJ6" s="10">
        <v>3</v>
      </c>
      <c r="AK6" s="10">
        <v>4</v>
      </c>
      <c r="AL6" s="10">
        <v>5</v>
      </c>
      <c r="AM6" s="10">
        <v>6</v>
      </c>
      <c r="AN6" s="10">
        <v>7</v>
      </c>
      <c r="AO6" s="10">
        <v>8</v>
      </c>
      <c r="AP6" s="45"/>
      <c r="AQ6" s="45"/>
      <c r="AR6" s="45"/>
      <c r="AS6" s="12">
        <v>1</v>
      </c>
      <c r="AT6" s="12">
        <v>2</v>
      </c>
      <c r="AU6" s="12">
        <v>3</v>
      </c>
      <c r="AV6" s="12">
        <v>4</v>
      </c>
      <c r="AW6" s="12">
        <v>5</v>
      </c>
      <c r="AX6" s="12">
        <v>6</v>
      </c>
      <c r="AY6" s="12">
        <v>7</v>
      </c>
      <c r="AZ6" s="12">
        <v>8</v>
      </c>
      <c r="BA6" s="11">
        <v>1</v>
      </c>
      <c r="BB6" s="11">
        <v>2</v>
      </c>
      <c r="BC6" s="11">
        <v>3</v>
      </c>
      <c r="BD6" s="11">
        <v>4</v>
      </c>
      <c r="BE6" s="11">
        <v>5</v>
      </c>
      <c r="BF6" s="11">
        <v>6</v>
      </c>
      <c r="BG6" s="11">
        <v>7</v>
      </c>
      <c r="BH6" s="11">
        <v>8</v>
      </c>
    </row>
    <row r="7" spans="1:60" ht="13.8" x14ac:dyDescent="0.3">
      <c r="A7" s="14">
        <v>60200123102</v>
      </c>
      <c r="B7" s="16" t="s">
        <v>24</v>
      </c>
      <c r="C7" s="17">
        <v>1</v>
      </c>
      <c r="D7" s="17">
        <v>1</v>
      </c>
      <c r="E7" s="17">
        <v>1</v>
      </c>
      <c r="F7" s="17">
        <f t="shared" ref="F7:J7" si="0">IF(AA7&gt;0,1,0)</f>
        <v>0</v>
      </c>
      <c r="G7" s="17">
        <f t="shared" si="0"/>
        <v>0</v>
      </c>
      <c r="H7" s="17">
        <f t="shared" si="0"/>
        <v>0</v>
      </c>
      <c r="I7" s="17">
        <f t="shared" si="0"/>
        <v>1</v>
      </c>
      <c r="J7" s="17">
        <f t="shared" si="0"/>
        <v>0</v>
      </c>
      <c r="K7" s="17"/>
      <c r="L7" s="17"/>
      <c r="M7" s="21">
        <f t="shared" ref="M7:M40" si="1">SUM(C7:L7)*10</f>
        <v>40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6">
        <f t="shared" ref="X7:X40" si="2">SUM(N7:W7)/10</f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100</v>
      </c>
      <c r="AE7" s="27">
        <v>0</v>
      </c>
      <c r="AF7" s="27">
        <v>0</v>
      </c>
      <c r="AG7" s="28">
        <f t="shared" ref="AG7:AG40" si="3">SUM(Y7:AF7)/7</f>
        <v>14.285714285714286</v>
      </c>
      <c r="AH7" s="22">
        <f t="shared" ref="AH7:AO7" si="4">(AS7+BA7)/2</f>
        <v>0</v>
      </c>
      <c r="AI7" s="22">
        <f t="shared" si="4"/>
        <v>0</v>
      </c>
      <c r="AJ7" s="22">
        <f t="shared" si="4"/>
        <v>0</v>
      </c>
      <c r="AK7" s="22">
        <f t="shared" si="4"/>
        <v>0</v>
      </c>
      <c r="AL7" s="22">
        <f t="shared" si="4"/>
        <v>0</v>
      </c>
      <c r="AM7" s="22">
        <f t="shared" si="4"/>
        <v>0</v>
      </c>
      <c r="AN7" s="22">
        <f t="shared" si="4"/>
        <v>0</v>
      </c>
      <c r="AO7" s="22">
        <f t="shared" si="4"/>
        <v>0</v>
      </c>
      <c r="AP7" s="30">
        <f t="shared" ref="AP7:AP40" si="5">SUM(AH7:AO7)/7</f>
        <v>0</v>
      </c>
      <c r="AQ7" s="31">
        <v>86</v>
      </c>
      <c r="AR7" s="32">
        <f>(Kontrak!$B$6*M7)+(Kontrak!$B$4*X7)+(Kontrak!$B$2*AG7)+(Kontrak!$B$3*AP7)+(Kontrak!$B$5*AQ7)</f>
        <v>32.657142857142858</v>
      </c>
      <c r="AS7" s="35"/>
      <c r="AT7" s="35"/>
      <c r="AU7" s="35"/>
      <c r="AV7" s="35"/>
      <c r="AW7" s="35"/>
      <c r="AX7" s="35"/>
      <c r="AY7" s="35"/>
      <c r="AZ7" s="35"/>
      <c r="BA7" s="33"/>
      <c r="BB7" s="33"/>
      <c r="BC7" s="33"/>
      <c r="BD7" s="33"/>
      <c r="BE7" s="33"/>
      <c r="BF7" s="33"/>
      <c r="BG7" s="33"/>
      <c r="BH7" s="33"/>
    </row>
    <row r="8" spans="1:60" ht="13.8" x14ac:dyDescent="0.3">
      <c r="A8" s="20">
        <v>60200125004</v>
      </c>
      <c r="B8" s="34" t="s">
        <v>30</v>
      </c>
      <c r="C8" s="17">
        <v>1</v>
      </c>
      <c r="D8" s="17">
        <v>1</v>
      </c>
      <c r="E8" s="17">
        <v>1</v>
      </c>
      <c r="F8" s="17">
        <f t="shared" ref="F8:J8" si="6">IF(AA8&gt;0,1,0)</f>
        <v>1</v>
      </c>
      <c r="G8" s="17">
        <f t="shared" si="6"/>
        <v>1</v>
      </c>
      <c r="H8" s="17">
        <f t="shared" si="6"/>
        <v>1</v>
      </c>
      <c r="I8" s="17">
        <f t="shared" si="6"/>
        <v>1</v>
      </c>
      <c r="J8" s="17">
        <f t="shared" si="6"/>
        <v>1</v>
      </c>
      <c r="K8" s="17"/>
      <c r="L8" s="17"/>
      <c r="M8" s="21">
        <f t="shared" si="1"/>
        <v>80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100</v>
      </c>
      <c r="X8" s="26">
        <f t="shared" si="2"/>
        <v>10</v>
      </c>
      <c r="Y8" s="27">
        <v>100</v>
      </c>
      <c r="Z8" s="27">
        <v>80</v>
      </c>
      <c r="AA8" s="27">
        <v>100</v>
      </c>
      <c r="AB8" s="27">
        <v>82</v>
      </c>
      <c r="AC8" s="27">
        <v>100</v>
      </c>
      <c r="AD8" s="27">
        <v>100</v>
      </c>
      <c r="AE8" s="27">
        <v>87</v>
      </c>
      <c r="AF8" s="27">
        <v>100</v>
      </c>
      <c r="AG8" s="28">
        <f t="shared" si="3"/>
        <v>107</v>
      </c>
      <c r="AH8" s="22">
        <f t="shared" ref="AH8:AH40" si="7">(AS8+BA8)/2</f>
        <v>90</v>
      </c>
      <c r="AI8" s="22">
        <v>82</v>
      </c>
      <c r="AJ8" s="22">
        <f t="shared" ref="AJ8:AO8" si="8">(AU8+BC8)/2</f>
        <v>88</v>
      </c>
      <c r="AK8" s="22">
        <f t="shared" si="8"/>
        <v>0</v>
      </c>
      <c r="AL8" s="22">
        <f t="shared" si="8"/>
        <v>41.5</v>
      </c>
      <c r="AM8" s="22">
        <f t="shared" si="8"/>
        <v>42.5</v>
      </c>
      <c r="AN8" s="22">
        <f t="shared" si="8"/>
        <v>43</v>
      </c>
      <c r="AO8" s="22">
        <f t="shared" si="8"/>
        <v>43</v>
      </c>
      <c r="AP8" s="30">
        <f t="shared" si="5"/>
        <v>61.428571428571431</v>
      </c>
      <c r="AQ8" s="31">
        <v>86</v>
      </c>
      <c r="AR8" s="32">
        <v>80</v>
      </c>
      <c r="AS8" s="35">
        <v>89</v>
      </c>
      <c r="AT8" s="35">
        <v>84</v>
      </c>
      <c r="AU8" s="35">
        <v>85</v>
      </c>
      <c r="AV8" s="35"/>
      <c r="AW8" s="35">
        <v>83</v>
      </c>
      <c r="AX8" s="35">
        <v>85</v>
      </c>
      <c r="AY8" s="35">
        <v>86</v>
      </c>
      <c r="AZ8" s="35">
        <v>86</v>
      </c>
      <c r="BA8" s="33">
        <v>91</v>
      </c>
      <c r="BB8" s="33">
        <v>91</v>
      </c>
      <c r="BC8" s="33">
        <v>91</v>
      </c>
      <c r="BD8" s="33"/>
      <c r="BE8" s="33"/>
      <c r="BF8" s="33"/>
      <c r="BG8" s="33"/>
      <c r="BH8" s="33"/>
    </row>
    <row r="9" spans="1:60" ht="13.8" x14ac:dyDescent="0.3">
      <c r="A9" s="14">
        <v>60200125012</v>
      </c>
      <c r="B9" s="39" t="s">
        <v>33</v>
      </c>
      <c r="C9" s="17">
        <v>1</v>
      </c>
      <c r="D9" s="17">
        <v>1</v>
      </c>
      <c r="E9" s="17">
        <v>1</v>
      </c>
      <c r="F9" s="17">
        <f t="shared" ref="F9:J9" si="9">IF(AA9&gt;0,1,0)</f>
        <v>0</v>
      </c>
      <c r="G9" s="17">
        <f t="shared" si="9"/>
        <v>0</v>
      </c>
      <c r="H9" s="17">
        <f t="shared" si="9"/>
        <v>0</v>
      </c>
      <c r="I9" s="17">
        <f t="shared" si="9"/>
        <v>1</v>
      </c>
      <c r="J9" s="17">
        <f t="shared" si="9"/>
        <v>0</v>
      </c>
      <c r="K9" s="17"/>
      <c r="L9" s="17"/>
      <c r="M9" s="21">
        <f t="shared" si="1"/>
        <v>40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100</v>
      </c>
      <c r="X9" s="26">
        <f t="shared" si="2"/>
        <v>10</v>
      </c>
      <c r="Y9" s="27">
        <v>0</v>
      </c>
      <c r="Z9" s="27">
        <v>80</v>
      </c>
      <c r="AA9" s="27">
        <v>0</v>
      </c>
      <c r="AB9" s="27">
        <v>0</v>
      </c>
      <c r="AC9" s="27">
        <v>0</v>
      </c>
      <c r="AD9" s="27">
        <v>100</v>
      </c>
      <c r="AE9" s="27">
        <v>0</v>
      </c>
      <c r="AF9" s="27">
        <v>0</v>
      </c>
      <c r="AG9" s="28">
        <f t="shared" si="3"/>
        <v>25.714285714285715</v>
      </c>
      <c r="AH9" s="22">
        <f t="shared" si="7"/>
        <v>0</v>
      </c>
      <c r="AI9" s="22">
        <f t="shared" ref="AI9:AO9" si="10">(AT9+BB9)/2</f>
        <v>0</v>
      </c>
      <c r="AJ9" s="22">
        <f t="shared" si="10"/>
        <v>0</v>
      </c>
      <c r="AK9" s="22">
        <f t="shared" si="10"/>
        <v>0</v>
      </c>
      <c r="AL9" s="22">
        <f t="shared" si="10"/>
        <v>0</v>
      </c>
      <c r="AM9" s="22">
        <f t="shared" si="10"/>
        <v>0</v>
      </c>
      <c r="AN9" s="22">
        <f t="shared" si="10"/>
        <v>0</v>
      </c>
      <c r="AO9" s="22">
        <f t="shared" si="10"/>
        <v>0</v>
      </c>
      <c r="AP9" s="30">
        <f t="shared" si="5"/>
        <v>0</v>
      </c>
      <c r="AQ9" s="31">
        <v>86</v>
      </c>
      <c r="AR9" s="32">
        <f>(Kontrak!$B$6*M9)+(Kontrak!$B$4*X9)+(Kontrak!$B$2*AG9)+(Kontrak!$B$3*AP9)+(Kontrak!$B$5*AQ9)</f>
        <v>35.942857142857143</v>
      </c>
      <c r="AS9" s="35"/>
      <c r="AT9" s="35"/>
      <c r="AU9" s="35"/>
      <c r="AV9" s="35"/>
      <c r="AW9" s="35"/>
      <c r="AX9" s="35"/>
      <c r="AY9" s="35"/>
      <c r="AZ9" s="35"/>
      <c r="BA9" s="33"/>
      <c r="BB9" s="33"/>
      <c r="BC9" s="33"/>
      <c r="BD9" s="33"/>
      <c r="BE9" s="33"/>
      <c r="BF9" s="33"/>
      <c r="BG9" s="33"/>
      <c r="BH9" s="33"/>
    </row>
    <row r="10" spans="1:60" ht="13.8" x14ac:dyDescent="0.3">
      <c r="A10" s="37">
        <v>60200125013</v>
      </c>
      <c r="B10" s="39" t="s">
        <v>38</v>
      </c>
      <c r="C10" s="17">
        <v>1</v>
      </c>
      <c r="D10" s="17">
        <v>1</v>
      </c>
      <c r="E10" s="17">
        <v>1</v>
      </c>
      <c r="F10" s="17">
        <f t="shared" ref="F10:J10" si="11">IF(AA10&gt;0,1,0)</f>
        <v>0</v>
      </c>
      <c r="G10" s="17">
        <f t="shared" si="11"/>
        <v>1</v>
      </c>
      <c r="H10" s="17">
        <f t="shared" si="11"/>
        <v>1</v>
      </c>
      <c r="I10" s="17">
        <f t="shared" si="11"/>
        <v>1</v>
      </c>
      <c r="J10" s="17">
        <f t="shared" si="11"/>
        <v>1</v>
      </c>
      <c r="K10" s="17"/>
      <c r="L10" s="17"/>
      <c r="M10" s="21">
        <f t="shared" si="1"/>
        <v>70</v>
      </c>
      <c r="N10" s="22">
        <v>0</v>
      </c>
      <c r="O10" s="22">
        <v>80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100</v>
      </c>
      <c r="X10" s="26">
        <f t="shared" si="2"/>
        <v>18</v>
      </c>
      <c r="Y10" s="27">
        <v>80</v>
      </c>
      <c r="Z10" s="27">
        <v>100</v>
      </c>
      <c r="AA10" s="27">
        <v>0</v>
      </c>
      <c r="AB10" s="27">
        <v>100</v>
      </c>
      <c r="AC10" s="27">
        <v>82</v>
      </c>
      <c r="AD10" s="27">
        <v>100</v>
      </c>
      <c r="AE10" s="27">
        <v>100</v>
      </c>
      <c r="AF10" s="27">
        <v>87</v>
      </c>
      <c r="AG10" s="28">
        <f t="shared" si="3"/>
        <v>92.714285714285708</v>
      </c>
      <c r="AH10" s="22">
        <f t="shared" si="7"/>
        <v>88</v>
      </c>
      <c r="AI10" s="22">
        <f t="shared" ref="AI10:AO10" si="12">(AT10+BB10)/2</f>
        <v>45.5</v>
      </c>
      <c r="AJ10" s="22">
        <f t="shared" si="12"/>
        <v>43</v>
      </c>
      <c r="AK10" s="22">
        <f t="shared" si="12"/>
        <v>42</v>
      </c>
      <c r="AL10" s="22">
        <f t="shared" si="12"/>
        <v>42.5</v>
      </c>
      <c r="AM10" s="22">
        <f t="shared" si="12"/>
        <v>42.5</v>
      </c>
      <c r="AN10" s="22">
        <f t="shared" si="12"/>
        <v>83</v>
      </c>
      <c r="AO10" s="22">
        <f t="shared" si="12"/>
        <v>84.5</v>
      </c>
      <c r="AP10" s="30">
        <f t="shared" si="5"/>
        <v>67.285714285714292</v>
      </c>
      <c r="AQ10" s="31">
        <v>86</v>
      </c>
      <c r="AR10" s="32">
        <v>80</v>
      </c>
      <c r="AS10" s="35">
        <v>85</v>
      </c>
      <c r="AT10" s="35"/>
      <c r="AU10" s="35">
        <v>86</v>
      </c>
      <c r="AV10" s="35">
        <v>84</v>
      </c>
      <c r="AW10" s="35">
        <v>85</v>
      </c>
      <c r="AX10" s="35">
        <v>85</v>
      </c>
      <c r="AY10" s="35">
        <v>82</v>
      </c>
      <c r="AZ10" s="35">
        <v>85</v>
      </c>
      <c r="BA10" s="33">
        <v>91</v>
      </c>
      <c r="BB10" s="33">
        <v>91</v>
      </c>
      <c r="BC10" s="33"/>
      <c r="BD10" s="33"/>
      <c r="BE10" s="33"/>
      <c r="BF10" s="33"/>
      <c r="BG10" s="33">
        <v>84</v>
      </c>
      <c r="BH10" s="33">
        <v>84</v>
      </c>
    </row>
    <row r="11" spans="1:60" ht="13.8" x14ac:dyDescent="0.3">
      <c r="A11" s="24">
        <v>60200125025</v>
      </c>
      <c r="B11" s="41" t="s">
        <v>41</v>
      </c>
      <c r="C11" s="17">
        <v>1</v>
      </c>
      <c r="D11" s="17">
        <v>1</v>
      </c>
      <c r="E11" s="17">
        <v>1</v>
      </c>
      <c r="F11" s="17">
        <f t="shared" ref="F11:J11" si="13">IF(AA11&gt;0,1,0)</f>
        <v>0</v>
      </c>
      <c r="G11" s="17">
        <f t="shared" si="13"/>
        <v>0</v>
      </c>
      <c r="H11" s="17">
        <f t="shared" si="13"/>
        <v>0</v>
      </c>
      <c r="I11" s="17">
        <f t="shared" si="13"/>
        <v>1</v>
      </c>
      <c r="J11" s="17">
        <f t="shared" si="13"/>
        <v>0</v>
      </c>
      <c r="K11" s="17"/>
      <c r="L11" s="17"/>
      <c r="M11" s="21">
        <f t="shared" si="1"/>
        <v>40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6">
        <f t="shared" si="2"/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100</v>
      </c>
      <c r="AE11" s="27">
        <v>0</v>
      </c>
      <c r="AF11" s="27">
        <v>0</v>
      </c>
      <c r="AG11" s="28">
        <f t="shared" si="3"/>
        <v>14.285714285714286</v>
      </c>
      <c r="AH11" s="22">
        <f t="shared" si="7"/>
        <v>0</v>
      </c>
      <c r="AI11" s="22">
        <f t="shared" ref="AI11:AO11" si="14">(AT11+BB11)/2</f>
        <v>0</v>
      </c>
      <c r="AJ11" s="22">
        <f t="shared" si="14"/>
        <v>0</v>
      </c>
      <c r="AK11" s="22">
        <f t="shared" si="14"/>
        <v>0</v>
      </c>
      <c r="AL11" s="22">
        <f t="shared" si="14"/>
        <v>0</v>
      </c>
      <c r="AM11" s="22">
        <f t="shared" si="14"/>
        <v>0</v>
      </c>
      <c r="AN11" s="22">
        <f t="shared" si="14"/>
        <v>0</v>
      </c>
      <c r="AO11" s="22">
        <f t="shared" si="14"/>
        <v>0</v>
      </c>
      <c r="AP11" s="30">
        <f t="shared" si="5"/>
        <v>0</v>
      </c>
      <c r="AQ11" s="31">
        <v>86</v>
      </c>
      <c r="AR11" s="32">
        <f>(Kontrak!$B$6*M11)+(Kontrak!$B$4*X11)+(Kontrak!$B$2*AG11)+(Kontrak!$B$3*AP11)+(Kontrak!$B$5*AQ11)</f>
        <v>32.657142857142858</v>
      </c>
      <c r="AS11" s="35"/>
      <c r="AT11" s="35"/>
      <c r="AU11" s="35"/>
      <c r="AV11" s="35"/>
      <c r="AW11" s="35"/>
      <c r="AX11" s="35"/>
      <c r="AY11" s="35"/>
      <c r="AZ11" s="35"/>
      <c r="BA11" s="33"/>
      <c r="BB11" s="33"/>
      <c r="BC11" s="33"/>
      <c r="BD11" s="33"/>
      <c r="BE11" s="33"/>
      <c r="BF11" s="33"/>
      <c r="BG11" s="33"/>
      <c r="BH11" s="33"/>
    </row>
    <row r="12" spans="1:60" ht="13.8" x14ac:dyDescent="0.3">
      <c r="A12" s="38">
        <v>60200125026</v>
      </c>
      <c r="B12" s="41" t="s">
        <v>44</v>
      </c>
      <c r="C12" s="17">
        <v>1</v>
      </c>
      <c r="D12" s="17">
        <v>1</v>
      </c>
      <c r="E12" s="17">
        <v>1</v>
      </c>
      <c r="F12" s="17">
        <f t="shared" ref="F12:J12" si="15">IF(AA12&gt;0,1,0)</f>
        <v>1</v>
      </c>
      <c r="G12" s="17">
        <f t="shared" si="15"/>
        <v>1</v>
      </c>
      <c r="H12" s="17">
        <f t="shared" si="15"/>
        <v>1</v>
      </c>
      <c r="I12" s="17">
        <f t="shared" si="15"/>
        <v>1</v>
      </c>
      <c r="J12" s="17">
        <f t="shared" si="15"/>
        <v>1</v>
      </c>
      <c r="K12" s="17"/>
      <c r="L12" s="17"/>
      <c r="M12" s="21">
        <f t="shared" si="1"/>
        <v>80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100</v>
      </c>
      <c r="X12" s="26">
        <f t="shared" si="2"/>
        <v>10</v>
      </c>
      <c r="Y12" s="27">
        <v>100</v>
      </c>
      <c r="Z12" s="27">
        <v>85</v>
      </c>
      <c r="AA12" s="27">
        <v>100</v>
      </c>
      <c r="AB12" s="27">
        <v>83</v>
      </c>
      <c r="AC12" s="27">
        <v>100</v>
      </c>
      <c r="AD12" s="27">
        <v>100</v>
      </c>
      <c r="AE12" s="27">
        <v>87</v>
      </c>
      <c r="AF12" s="27">
        <v>100</v>
      </c>
      <c r="AG12" s="28">
        <f t="shared" si="3"/>
        <v>107.85714285714286</v>
      </c>
      <c r="AH12" s="22">
        <f t="shared" si="7"/>
        <v>88</v>
      </c>
      <c r="AI12" s="22">
        <v>80</v>
      </c>
      <c r="AJ12" s="22">
        <f t="shared" ref="AJ12:AO12" si="16">(AU12+BC12)/2</f>
        <v>86.5</v>
      </c>
      <c r="AK12" s="22">
        <f t="shared" si="16"/>
        <v>42</v>
      </c>
      <c r="AL12" s="22">
        <f t="shared" si="16"/>
        <v>37.5</v>
      </c>
      <c r="AM12" s="22">
        <f t="shared" si="16"/>
        <v>42.5</v>
      </c>
      <c r="AN12" s="22">
        <f t="shared" si="16"/>
        <v>83</v>
      </c>
      <c r="AO12" s="22">
        <f t="shared" si="16"/>
        <v>84</v>
      </c>
      <c r="AP12" s="30">
        <f t="shared" si="5"/>
        <v>77.642857142857139</v>
      </c>
      <c r="AQ12" s="31">
        <v>86</v>
      </c>
      <c r="AR12" s="32">
        <f>(Kontrak!$B$6*M12)+(Kontrak!$B$4*X12)+(Kontrak!$B$2*AG12)+(Kontrak!$B$3*AP12)+(Kontrak!$B$5*AQ12)</f>
        <v>79.664285714285711</v>
      </c>
      <c r="AS12" s="35">
        <v>85</v>
      </c>
      <c r="AT12" s="35"/>
      <c r="AU12" s="35">
        <v>82</v>
      </c>
      <c r="AV12" s="35">
        <v>84</v>
      </c>
      <c r="AW12" s="35">
        <v>75</v>
      </c>
      <c r="AX12" s="35">
        <v>85</v>
      </c>
      <c r="AY12" s="35">
        <v>82</v>
      </c>
      <c r="AZ12" s="35">
        <v>84</v>
      </c>
      <c r="BA12" s="33">
        <v>91</v>
      </c>
      <c r="BB12" s="33">
        <v>91</v>
      </c>
      <c r="BC12" s="33">
        <v>91</v>
      </c>
      <c r="BD12" s="33"/>
      <c r="BE12" s="33"/>
      <c r="BF12" s="33"/>
      <c r="BG12" s="33">
        <v>84</v>
      </c>
      <c r="BH12" s="33">
        <v>84</v>
      </c>
    </row>
    <row r="13" spans="1:60" ht="13.8" x14ac:dyDescent="0.3">
      <c r="A13" s="38">
        <v>60200125027</v>
      </c>
      <c r="B13" s="34" t="s">
        <v>47</v>
      </c>
      <c r="C13" s="17">
        <v>1</v>
      </c>
      <c r="D13" s="17">
        <v>1</v>
      </c>
      <c r="E13" s="17">
        <v>1</v>
      </c>
      <c r="F13" s="17">
        <f t="shared" ref="F13:J13" si="17">IF(AA13&gt;0,1,0)</f>
        <v>0</v>
      </c>
      <c r="G13" s="17">
        <f t="shared" si="17"/>
        <v>1</v>
      </c>
      <c r="H13" s="17">
        <f t="shared" si="17"/>
        <v>1</v>
      </c>
      <c r="I13" s="17">
        <f t="shared" si="17"/>
        <v>1</v>
      </c>
      <c r="J13" s="17">
        <f t="shared" si="17"/>
        <v>1</v>
      </c>
      <c r="K13" s="17"/>
      <c r="L13" s="17"/>
      <c r="M13" s="21">
        <f t="shared" si="1"/>
        <v>70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100</v>
      </c>
      <c r="X13" s="26">
        <f t="shared" si="2"/>
        <v>10</v>
      </c>
      <c r="Y13" s="27">
        <v>85</v>
      </c>
      <c r="Z13" s="27">
        <v>100</v>
      </c>
      <c r="AA13" s="27">
        <v>0</v>
      </c>
      <c r="AB13" s="27">
        <v>100</v>
      </c>
      <c r="AC13" s="27">
        <v>82</v>
      </c>
      <c r="AD13" s="27">
        <v>100</v>
      </c>
      <c r="AE13" s="27">
        <v>100</v>
      </c>
      <c r="AF13" s="27">
        <v>87</v>
      </c>
      <c r="AG13" s="28">
        <f t="shared" si="3"/>
        <v>93.428571428571431</v>
      </c>
      <c r="AH13" s="22">
        <f t="shared" si="7"/>
        <v>90</v>
      </c>
      <c r="AI13" s="22">
        <v>85</v>
      </c>
      <c r="AJ13" s="22">
        <f t="shared" ref="AJ13:AO13" si="18">(AU13+BC13)/2</f>
        <v>86.5</v>
      </c>
      <c r="AK13" s="22">
        <f t="shared" si="18"/>
        <v>41</v>
      </c>
      <c r="AL13" s="22">
        <f t="shared" si="18"/>
        <v>43</v>
      </c>
      <c r="AM13" s="22">
        <f t="shared" si="18"/>
        <v>42.5</v>
      </c>
      <c r="AN13" s="22">
        <f t="shared" si="18"/>
        <v>43</v>
      </c>
      <c r="AO13" s="22">
        <f t="shared" si="18"/>
        <v>42</v>
      </c>
      <c r="AP13" s="30">
        <f t="shared" si="5"/>
        <v>67.571428571428569</v>
      </c>
      <c r="AQ13" s="31">
        <v>86</v>
      </c>
      <c r="AR13" s="32">
        <v>80</v>
      </c>
      <c r="AS13" s="35">
        <v>89</v>
      </c>
      <c r="AT13" s="35"/>
      <c r="AU13" s="35">
        <v>82</v>
      </c>
      <c r="AV13" s="35">
        <v>82</v>
      </c>
      <c r="AW13" s="35">
        <v>86</v>
      </c>
      <c r="AX13" s="35">
        <v>85</v>
      </c>
      <c r="AY13" s="35">
        <v>86</v>
      </c>
      <c r="AZ13" s="35">
        <v>84</v>
      </c>
      <c r="BA13" s="33">
        <v>91</v>
      </c>
      <c r="BB13" s="33">
        <v>91</v>
      </c>
      <c r="BC13" s="33">
        <v>91</v>
      </c>
      <c r="BD13" s="33"/>
      <c r="BE13" s="33"/>
      <c r="BF13" s="33"/>
      <c r="BG13" s="33"/>
      <c r="BH13" s="33"/>
    </row>
    <row r="14" spans="1:60" ht="13.8" x14ac:dyDescent="0.3">
      <c r="A14" s="20">
        <v>60200125030</v>
      </c>
      <c r="B14" s="34" t="s">
        <v>50</v>
      </c>
      <c r="C14" s="17">
        <v>1</v>
      </c>
      <c r="D14" s="17">
        <v>1</v>
      </c>
      <c r="E14" s="17">
        <v>1</v>
      </c>
      <c r="F14" s="17">
        <f t="shared" ref="F14:J14" si="19">IF(AA14&gt;0,1,0)</f>
        <v>1</v>
      </c>
      <c r="G14" s="17">
        <f t="shared" si="19"/>
        <v>1</v>
      </c>
      <c r="H14" s="17">
        <f t="shared" si="19"/>
        <v>1</v>
      </c>
      <c r="I14" s="17">
        <f t="shared" si="19"/>
        <v>1</v>
      </c>
      <c r="J14" s="17">
        <f t="shared" si="19"/>
        <v>1</v>
      </c>
      <c r="K14" s="17"/>
      <c r="L14" s="17"/>
      <c r="M14" s="21">
        <f t="shared" si="1"/>
        <v>80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100</v>
      </c>
      <c r="X14" s="26">
        <f t="shared" si="2"/>
        <v>10</v>
      </c>
      <c r="Y14" s="27">
        <v>100</v>
      </c>
      <c r="Z14" s="27">
        <v>80</v>
      </c>
      <c r="AA14" s="27">
        <v>100</v>
      </c>
      <c r="AB14" s="27">
        <v>82</v>
      </c>
      <c r="AC14" s="27">
        <v>100</v>
      </c>
      <c r="AD14" s="27">
        <v>100</v>
      </c>
      <c r="AE14" s="27">
        <v>82</v>
      </c>
      <c r="AF14" s="27">
        <v>100</v>
      </c>
      <c r="AG14" s="28">
        <f t="shared" si="3"/>
        <v>106.28571428571429</v>
      </c>
      <c r="AH14" s="22">
        <f t="shared" si="7"/>
        <v>90</v>
      </c>
      <c r="AI14" s="22">
        <f t="shared" ref="AI14:AO14" si="20">(AT14+BB14)/2</f>
        <v>87.5</v>
      </c>
      <c r="AJ14" s="22">
        <f t="shared" si="20"/>
        <v>85.5</v>
      </c>
      <c r="AK14" s="22">
        <f t="shared" si="20"/>
        <v>0</v>
      </c>
      <c r="AL14" s="22">
        <f t="shared" si="20"/>
        <v>41</v>
      </c>
      <c r="AM14" s="22">
        <f t="shared" si="20"/>
        <v>42.5</v>
      </c>
      <c r="AN14" s="22">
        <f t="shared" si="20"/>
        <v>42</v>
      </c>
      <c r="AO14" s="22">
        <f t="shared" si="20"/>
        <v>0</v>
      </c>
      <c r="AP14" s="30">
        <f t="shared" si="5"/>
        <v>55.5</v>
      </c>
      <c r="AQ14" s="31">
        <v>86</v>
      </c>
      <c r="AR14" s="32">
        <v>80</v>
      </c>
      <c r="AS14" s="35">
        <v>89</v>
      </c>
      <c r="AT14" s="35">
        <v>84</v>
      </c>
      <c r="AU14" s="35">
        <v>80</v>
      </c>
      <c r="AV14" s="35"/>
      <c r="AW14" s="35">
        <v>82</v>
      </c>
      <c r="AX14" s="35">
        <v>85</v>
      </c>
      <c r="AY14" s="35">
        <v>84</v>
      </c>
      <c r="AZ14" s="35"/>
      <c r="BA14" s="33">
        <v>91</v>
      </c>
      <c r="BB14" s="33">
        <v>91</v>
      </c>
      <c r="BC14" s="33">
        <v>91</v>
      </c>
      <c r="BD14" s="33"/>
      <c r="BE14" s="33"/>
      <c r="BF14" s="33"/>
      <c r="BG14" s="33"/>
      <c r="BH14" s="33"/>
    </row>
    <row r="15" spans="1:60" ht="13.8" x14ac:dyDescent="0.3">
      <c r="A15" s="24">
        <v>60200125041</v>
      </c>
      <c r="B15" s="34" t="s">
        <v>52</v>
      </c>
      <c r="C15" s="17">
        <v>1</v>
      </c>
      <c r="D15" s="17">
        <v>1</v>
      </c>
      <c r="E15" s="17">
        <v>1</v>
      </c>
      <c r="F15" s="17">
        <f t="shared" ref="F15:J15" si="21">IF(AA15&gt;0,1,0)</f>
        <v>1</v>
      </c>
      <c r="G15" s="17">
        <f t="shared" si="21"/>
        <v>1</v>
      </c>
      <c r="H15" s="17">
        <f t="shared" si="21"/>
        <v>1</v>
      </c>
      <c r="I15" s="17">
        <f t="shared" si="21"/>
        <v>1</v>
      </c>
      <c r="J15" s="17">
        <f t="shared" si="21"/>
        <v>1</v>
      </c>
      <c r="K15" s="17"/>
      <c r="L15" s="17"/>
      <c r="M15" s="21">
        <f t="shared" si="1"/>
        <v>80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6">
        <f t="shared" si="2"/>
        <v>0</v>
      </c>
      <c r="Y15" s="27">
        <v>86</v>
      </c>
      <c r="Z15" s="27">
        <v>100</v>
      </c>
      <c r="AA15" s="27">
        <v>85</v>
      </c>
      <c r="AB15" s="27">
        <v>100</v>
      </c>
      <c r="AC15" s="27">
        <v>80</v>
      </c>
      <c r="AD15" s="27">
        <v>100</v>
      </c>
      <c r="AE15" s="27">
        <v>87</v>
      </c>
      <c r="AF15" s="27">
        <v>100</v>
      </c>
      <c r="AG15" s="28">
        <f t="shared" si="3"/>
        <v>105.42857142857143</v>
      </c>
      <c r="AH15" s="22">
        <f t="shared" si="7"/>
        <v>85.5</v>
      </c>
      <c r="AI15" s="22">
        <f t="shared" ref="AI15:AI22" si="22">(AT15+BB15)/2</f>
        <v>45.5</v>
      </c>
      <c r="AJ15" s="22">
        <v>80</v>
      </c>
      <c r="AK15" s="22">
        <f t="shared" ref="AK15:AO15" si="23">(AV15+BD15)/2</f>
        <v>42</v>
      </c>
      <c r="AL15" s="22">
        <f t="shared" si="23"/>
        <v>43</v>
      </c>
      <c r="AM15" s="22">
        <f t="shared" si="23"/>
        <v>42.5</v>
      </c>
      <c r="AN15" s="22">
        <f t="shared" si="23"/>
        <v>40</v>
      </c>
      <c r="AO15" s="22">
        <f t="shared" si="23"/>
        <v>41</v>
      </c>
      <c r="AP15" s="30">
        <f t="shared" si="5"/>
        <v>59.928571428571431</v>
      </c>
      <c r="AQ15" s="31">
        <v>86</v>
      </c>
      <c r="AR15" s="32">
        <v>80</v>
      </c>
      <c r="AS15" s="35">
        <v>80</v>
      </c>
      <c r="AT15" s="35"/>
      <c r="AU15" s="35">
        <v>85</v>
      </c>
      <c r="AV15" s="35">
        <v>84</v>
      </c>
      <c r="AW15" s="35">
        <v>86</v>
      </c>
      <c r="AX15" s="35">
        <v>85</v>
      </c>
      <c r="AY15" s="35">
        <v>80</v>
      </c>
      <c r="AZ15" s="35">
        <v>82</v>
      </c>
      <c r="BA15" s="33">
        <v>91</v>
      </c>
      <c r="BB15" s="33">
        <v>91</v>
      </c>
      <c r="BC15" s="33">
        <v>91</v>
      </c>
      <c r="BD15" s="33"/>
      <c r="BE15" s="33"/>
      <c r="BF15" s="33"/>
      <c r="BG15" s="33"/>
      <c r="BH15" s="33"/>
    </row>
    <row r="16" spans="1:60" ht="13.8" x14ac:dyDescent="0.3">
      <c r="A16" s="24">
        <v>60200125043</v>
      </c>
      <c r="B16" s="34" t="s">
        <v>56</v>
      </c>
      <c r="C16" s="17">
        <v>1</v>
      </c>
      <c r="D16" s="17">
        <v>1</v>
      </c>
      <c r="E16" s="17">
        <v>1</v>
      </c>
      <c r="F16" s="17">
        <f t="shared" ref="F16:J16" si="24">IF(AA16&gt;0,1,0)</f>
        <v>0</v>
      </c>
      <c r="G16" s="17">
        <f t="shared" si="24"/>
        <v>0</v>
      </c>
      <c r="H16" s="17">
        <f t="shared" si="24"/>
        <v>0</v>
      </c>
      <c r="I16" s="17">
        <f t="shared" si="24"/>
        <v>1</v>
      </c>
      <c r="J16" s="17">
        <f t="shared" si="24"/>
        <v>0</v>
      </c>
      <c r="K16" s="17"/>
      <c r="L16" s="17"/>
      <c r="M16" s="21">
        <f t="shared" si="1"/>
        <v>40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6">
        <f t="shared" si="2"/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100</v>
      </c>
      <c r="AE16" s="27">
        <v>0</v>
      </c>
      <c r="AF16" s="27">
        <v>0</v>
      </c>
      <c r="AG16" s="28">
        <f t="shared" si="3"/>
        <v>14.285714285714286</v>
      </c>
      <c r="AH16" s="22">
        <f t="shared" si="7"/>
        <v>0</v>
      </c>
      <c r="AI16" s="22">
        <f t="shared" si="22"/>
        <v>0</v>
      </c>
      <c r="AJ16" s="22">
        <f t="shared" ref="AJ16:AO16" si="25">(AU16+BC16)/2</f>
        <v>0</v>
      </c>
      <c r="AK16" s="22">
        <f t="shared" si="25"/>
        <v>0</v>
      </c>
      <c r="AL16" s="22">
        <f t="shared" si="25"/>
        <v>0</v>
      </c>
      <c r="AM16" s="22">
        <f t="shared" si="25"/>
        <v>0</v>
      </c>
      <c r="AN16" s="22">
        <f t="shared" si="25"/>
        <v>0</v>
      </c>
      <c r="AO16" s="22">
        <f t="shared" si="25"/>
        <v>0</v>
      </c>
      <c r="AP16" s="30">
        <f t="shared" si="5"/>
        <v>0</v>
      </c>
      <c r="AQ16" s="31">
        <v>86</v>
      </c>
      <c r="AR16" s="32">
        <f>(Kontrak!$B$6*M16)+(Kontrak!$B$4*X16)+(Kontrak!$B$2*AG16)+(Kontrak!$B$3*AP16)+(Kontrak!$B$5*AQ16)</f>
        <v>32.657142857142858</v>
      </c>
      <c r="AS16" s="35"/>
      <c r="AT16" s="35"/>
      <c r="AU16" s="35"/>
      <c r="AV16" s="35"/>
      <c r="AW16" s="35"/>
      <c r="AX16" s="35"/>
      <c r="AY16" s="35"/>
      <c r="AZ16" s="35"/>
      <c r="BA16" s="33"/>
      <c r="BB16" s="33"/>
      <c r="BC16" s="33"/>
      <c r="BD16" s="33"/>
      <c r="BE16" s="33"/>
      <c r="BF16" s="33"/>
      <c r="BG16" s="33"/>
      <c r="BH16" s="33"/>
    </row>
    <row r="17" spans="1:60" ht="13.8" x14ac:dyDescent="0.3">
      <c r="A17" s="20">
        <v>60200125052</v>
      </c>
      <c r="B17" s="34" t="s">
        <v>59</v>
      </c>
      <c r="C17" s="17">
        <v>1</v>
      </c>
      <c r="D17" s="17">
        <v>1</v>
      </c>
      <c r="E17" s="17">
        <v>1</v>
      </c>
      <c r="F17" s="17">
        <f t="shared" ref="F17:J17" si="26">IF(AA17&gt;0,1,0)</f>
        <v>0</v>
      </c>
      <c r="G17" s="17">
        <f t="shared" si="26"/>
        <v>0</v>
      </c>
      <c r="H17" s="17">
        <f t="shared" si="26"/>
        <v>0</v>
      </c>
      <c r="I17" s="17">
        <f t="shared" si="26"/>
        <v>1</v>
      </c>
      <c r="J17" s="17">
        <f t="shared" si="26"/>
        <v>0</v>
      </c>
      <c r="K17" s="17"/>
      <c r="L17" s="17"/>
      <c r="M17" s="21">
        <f t="shared" si="1"/>
        <v>40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6">
        <f t="shared" si="2"/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100</v>
      </c>
      <c r="AE17" s="27">
        <v>0</v>
      </c>
      <c r="AF17" s="27">
        <v>0</v>
      </c>
      <c r="AG17" s="28">
        <f t="shared" si="3"/>
        <v>14.285714285714286</v>
      </c>
      <c r="AH17" s="22">
        <f t="shared" si="7"/>
        <v>0</v>
      </c>
      <c r="AI17" s="22">
        <f t="shared" si="22"/>
        <v>0</v>
      </c>
      <c r="AJ17" s="22">
        <f t="shared" ref="AJ17:AO17" si="27">(AU17+BC17)/2</f>
        <v>0</v>
      </c>
      <c r="AK17" s="22">
        <f t="shared" si="27"/>
        <v>0</v>
      </c>
      <c r="AL17" s="22">
        <f t="shared" si="27"/>
        <v>0</v>
      </c>
      <c r="AM17" s="22">
        <f t="shared" si="27"/>
        <v>0</v>
      </c>
      <c r="AN17" s="22">
        <f t="shared" si="27"/>
        <v>0</v>
      </c>
      <c r="AO17" s="22">
        <f t="shared" si="27"/>
        <v>0</v>
      </c>
      <c r="AP17" s="30">
        <f t="shared" si="5"/>
        <v>0</v>
      </c>
      <c r="AQ17" s="31">
        <v>86</v>
      </c>
      <c r="AR17" s="32">
        <f>(Kontrak!$B$6*M17)+(Kontrak!$B$4*X17)+(Kontrak!$B$2*AG17)+(Kontrak!$B$3*AP17)+(Kontrak!$B$5*AQ17)</f>
        <v>32.657142857142858</v>
      </c>
      <c r="AS17" s="35"/>
      <c r="AT17" s="35"/>
      <c r="AU17" s="35"/>
      <c r="AV17" s="35"/>
      <c r="AW17" s="35"/>
      <c r="AX17" s="35"/>
      <c r="AY17" s="35"/>
      <c r="AZ17" s="35"/>
      <c r="BA17" s="33"/>
      <c r="BB17" s="33"/>
      <c r="BC17" s="33"/>
      <c r="BD17" s="33"/>
      <c r="BE17" s="33"/>
      <c r="BF17" s="33"/>
      <c r="BG17" s="33"/>
      <c r="BH17" s="33"/>
    </row>
    <row r="18" spans="1:60" ht="13.8" x14ac:dyDescent="0.3">
      <c r="A18" s="20">
        <v>60200125064</v>
      </c>
      <c r="B18" s="34" t="s">
        <v>62</v>
      </c>
      <c r="C18" s="17">
        <v>1</v>
      </c>
      <c r="D18" s="17">
        <v>1</v>
      </c>
      <c r="E18" s="17">
        <v>1</v>
      </c>
      <c r="F18" s="17">
        <f t="shared" ref="F18:J18" si="28">IF(AA18&gt;0,1,0)</f>
        <v>1</v>
      </c>
      <c r="G18" s="17">
        <f t="shared" si="28"/>
        <v>1</v>
      </c>
      <c r="H18" s="17">
        <f t="shared" si="28"/>
        <v>1</v>
      </c>
      <c r="I18" s="17">
        <f t="shared" si="28"/>
        <v>1</v>
      </c>
      <c r="J18" s="17">
        <f t="shared" si="28"/>
        <v>1</v>
      </c>
      <c r="K18" s="17"/>
      <c r="L18" s="17"/>
      <c r="M18" s="21">
        <f t="shared" si="1"/>
        <v>80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6">
        <f t="shared" si="2"/>
        <v>0</v>
      </c>
      <c r="Y18" s="27">
        <v>100</v>
      </c>
      <c r="Z18" s="27">
        <v>85</v>
      </c>
      <c r="AA18" s="27">
        <v>100</v>
      </c>
      <c r="AB18" s="27">
        <v>80</v>
      </c>
      <c r="AC18" s="27">
        <v>100</v>
      </c>
      <c r="AD18" s="27">
        <v>100</v>
      </c>
      <c r="AE18" s="27">
        <v>100</v>
      </c>
      <c r="AF18" s="27">
        <v>87</v>
      </c>
      <c r="AG18" s="28">
        <f t="shared" si="3"/>
        <v>107.42857142857143</v>
      </c>
      <c r="AH18" s="22">
        <f t="shared" si="7"/>
        <v>88</v>
      </c>
      <c r="AI18" s="22">
        <f t="shared" si="22"/>
        <v>86.5</v>
      </c>
      <c r="AJ18" s="22">
        <f t="shared" ref="AJ18:AO18" si="29">(AU18+BC18)/2</f>
        <v>87.5</v>
      </c>
      <c r="AK18" s="22">
        <f t="shared" si="29"/>
        <v>41.5</v>
      </c>
      <c r="AL18" s="22">
        <f t="shared" si="29"/>
        <v>40</v>
      </c>
      <c r="AM18" s="22">
        <f t="shared" si="29"/>
        <v>41</v>
      </c>
      <c r="AN18" s="22">
        <f t="shared" si="29"/>
        <v>43</v>
      </c>
      <c r="AO18" s="22">
        <f t="shared" si="29"/>
        <v>42.5</v>
      </c>
      <c r="AP18" s="30">
        <f t="shared" si="5"/>
        <v>67.142857142857139</v>
      </c>
      <c r="AQ18" s="31">
        <v>86</v>
      </c>
      <c r="AR18" s="32">
        <v>80</v>
      </c>
      <c r="AS18" s="35">
        <v>85</v>
      </c>
      <c r="AT18" s="35">
        <v>82</v>
      </c>
      <c r="AU18" s="35">
        <v>84</v>
      </c>
      <c r="AV18" s="35">
        <v>83</v>
      </c>
      <c r="AW18" s="35">
        <v>80</v>
      </c>
      <c r="AX18" s="35">
        <v>82</v>
      </c>
      <c r="AY18" s="35">
        <v>86</v>
      </c>
      <c r="AZ18" s="35">
        <v>85</v>
      </c>
      <c r="BA18" s="33">
        <v>91</v>
      </c>
      <c r="BB18" s="33">
        <v>91</v>
      </c>
      <c r="BC18" s="33">
        <v>91</v>
      </c>
      <c r="BD18" s="33"/>
      <c r="BE18" s="33"/>
      <c r="BF18" s="33"/>
      <c r="BG18" s="33"/>
      <c r="BH18" s="33"/>
    </row>
    <row r="19" spans="1:60" ht="13.8" x14ac:dyDescent="0.3">
      <c r="A19" s="24">
        <v>60200125065</v>
      </c>
      <c r="B19" s="34" t="s">
        <v>65</v>
      </c>
      <c r="C19" s="17">
        <v>1</v>
      </c>
      <c r="D19" s="17">
        <v>1</v>
      </c>
      <c r="E19" s="17">
        <v>1</v>
      </c>
      <c r="F19" s="17">
        <f t="shared" ref="F19:J19" si="30">IF(AA19&gt;0,1,0)</f>
        <v>0</v>
      </c>
      <c r="G19" s="17">
        <f t="shared" si="30"/>
        <v>0</v>
      </c>
      <c r="H19" s="17">
        <f t="shared" si="30"/>
        <v>0</v>
      </c>
      <c r="I19" s="17">
        <f t="shared" si="30"/>
        <v>1</v>
      </c>
      <c r="J19" s="17">
        <f t="shared" si="30"/>
        <v>0</v>
      </c>
      <c r="K19" s="17"/>
      <c r="L19" s="17"/>
      <c r="M19" s="21">
        <f t="shared" si="1"/>
        <v>40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6">
        <f t="shared" si="2"/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100</v>
      </c>
      <c r="AE19" s="27">
        <v>0</v>
      </c>
      <c r="AF19" s="27">
        <v>0</v>
      </c>
      <c r="AG19" s="28">
        <f t="shared" si="3"/>
        <v>14.285714285714286</v>
      </c>
      <c r="AH19" s="22">
        <f t="shared" si="7"/>
        <v>45.5</v>
      </c>
      <c r="AI19" s="22">
        <f t="shared" si="22"/>
        <v>0</v>
      </c>
      <c r="AJ19" s="22">
        <f t="shared" ref="AJ19:AO19" si="31">(AU19+BC19)/2</f>
        <v>0</v>
      </c>
      <c r="AK19" s="22">
        <f t="shared" si="31"/>
        <v>0</v>
      </c>
      <c r="AL19" s="22">
        <f t="shared" si="31"/>
        <v>0</v>
      </c>
      <c r="AM19" s="22">
        <f t="shared" si="31"/>
        <v>0</v>
      </c>
      <c r="AN19" s="22">
        <f t="shared" si="31"/>
        <v>0</v>
      </c>
      <c r="AO19" s="22">
        <f t="shared" si="31"/>
        <v>0</v>
      </c>
      <c r="AP19" s="30">
        <f t="shared" si="5"/>
        <v>6.5</v>
      </c>
      <c r="AQ19" s="31">
        <v>86</v>
      </c>
      <c r="AR19" s="32">
        <f>(Kontrak!$B$6*M19)+(Kontrak!$B$4*X19)+(Kontrak!$B$2*AG19)+(Kontrak!$B$3*AP19)+(Kontrak!$B$5*AQ19)</f>
        <v>34.607142857142861</v>
      </c>
      <c r="AS19" s="35"/>
      <c r="AT19" s="35"/>
      <c r="AU19" s="35"/>
      <c r="AV19" s="35"/>
      <c r="AW19" s="35"/>
      <c r="AX19" s="35"/>
      <c r="AY19" s="35"/>
      <c r="AZ19" s="35"/>
      <c r="BA19" s="33">
        <v>91</v>
      </c>
      <c r="BB19" s="33"/>
      <c r="BC19" s="33"/>
      <c r="BD19" s="33"/>
      <c r="BE19" s="33"/>
      <c r="BF19" s="33"/>
      <c r="BG19" s="33"/>
      <c r="BH19" s="33"/>
    </row>
    <row r="20" spans="1:60" ht="13.8" x14ac:dyDescent="0.3">
      <c r="A20" s="20">
        <v>60200125066</v>
      </c>
      <c r="B20" s="34" t="s">
        <v>69</v>
      </c>
      <c r="C20" s="17">
        <v>1</v>
      </c>
      <c r="D20" s="17">
        <v>1</v>
      </c>
      <c r="E20" s="17">
        <v>1</v>
      </c>
      <c r="F20" s="17">
        <f t="shared" ref="F20:J20" si="32">IF(AA20&gt;0,1,0)</f>
        <v>1</v>
      </c>
      <c r="G20" s="17">
        <f t="shared" si="32"/>
        <v>1</v>
      </c>
      <c r="H20" s="17">
        <f t="shared" si="32"/>
        <v>1</v>
      </c>
      <c r="I20" s="17">
        <f t="shared" si="32"/>
        <v>1</v>
      </c>
      <c r="J20" s="17">
        <f t="shared" si="32"/>
        <v>1</v>
      </c>
      <c r="K20" s="17"/>
      <c r="L20" s="17"/>
      <c r="M20" s="21">
        <f t="shared" si="1"/>
        <v>80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100</v>
      </c>
      <c r="X20" s="26">
        <f t="shared" si="2"/>
        <v>10</v>
      </c>
      <c r="Y20" s="27">
        <v>100</v>
      </c>
      <c r="Z20" s="27">
        <v>81</v>
      </c>
      <c r="AA20" s="27">
        <v>100</v>
      </c>
      <c r="AB20" s="27">
        <v>82</v>
      </c>
      <c r="AC20" s="27">
        <v>100</v>
      </c>
      <c r="AD20" s="27">
        <v>100</v>
      </c>
      <c r="AE20" s="27">
        <v>87</v>
      </c>
      <c r="AF20" s="27">
        <v>100</v>
      </c>
      <c r="AG20" s="28">
        <f t="shared" si="3"/>
        <v>107.14285714285714</v>
      </c>
      <c r="AH20" s="22">
        <f t="shared" si="7"/>
        <v>90</v>
      </c>
      <c r="AI20" s="22">
        <f t="shared" si="22"/>
        <v>86.5</v>
      </c>
      <c r="AJ20" s="22">
        <f t="shared" ref="AJ20:AO20" si="33">(AU20+BC20)/2</f>
        <v>86.5</v>
      </c>
      <c r="AK20" s="22">
        <f t="shared" si="33"/>
        <v>40</v>
      </c>
      <c r="AL20" s="22">
        <f t="shared" si="33"/>
        <v>40</v>
      </c>
      <c r="AM20" s="22">
        <f t="shared" si="33"/>
        <v>42.5</v>
      </c>
      <c r="AN20" s="22">
        <f t="shared" si="33"/>
        <v>43</v>
      </c>
      <c r="AO20" s="22">
        <f t="shared" si="33"/>
        <v>43</v>
      </c>
      <c r="AP20" s="30">
        <f t="shared" si="5"/>
        <v>67.357142857142861</v>
      </c>
      <c r="AQ20" s="31">
        <v>86</v>
      </c>
      <c r="AR20" s="32">
        <v>80</v>
      </c>
      <c r="AS20" s="35">
        <v>89</v>
      </c>
      <c r="AT20" s="35">
        <v>82</v>
      </c>
      <c r="AU20" s="35">
        <v>82</v>
      </c>
      <c r="AV20" s="35">
        <v>80</v>
      </c>
      <c r="AW20" s="35">
        <v>80</v>
      </c>
      <c r="AX20" s="35">
        <v>85</v>
      </c>
      <c r="AY20" s="35">
        <v>86</v>
      </c>
      <c r="AZ20" s="35">
        <v>86</v>
      </c>
      <c r="BA20" s="33">
        <v>91</v>
      </c>
      <c r="BB20" s="33">
        <v>91</v>
      </c>
      <c r="BC20" s="33">
        <v>91</v>
      </c>
      <c r="BD20" s="33"/>
      <c r="BE20" s="33"/>
      <c r="BF20" s="33"/>
      <c r="BG20" s="33"/>
      <c r="BH20" s="33"/>
    </row>
    <row r="21" spans="1:60" ht="13.8" x14ac:dyDescent="0.3">
      <c r="A21" s="29">
        <v>60200125067</v>
      </c>
      <c r="B21" s="34" t="s">
        <v>71</v>
      </c>
      <c r="C21" s="17">
        <v>1</v>
      </c>
      <c r="D21" s="17">
        <v>1</v>
      </c>
      <c r="E21" s="17">
        <v>1</v>
      </c>
      <c r="F21" s="17">
        <f t="shared" ref="F21:J21" si="34">IF(AA21&gt;0,1,0)</f>
        <v>1</v>
      </c>
      <c r="G21" s="17">
        <f t="shared" si="34"/>
        <v>1</v>
      </c>
      <c r="H21" s="17">
        <f t="shared" si="34"/>
        <v>1</v>
      </c>
      <c r="I21" s="17">
        <f t="shared" si="34"/>
        <v>1</v>
      </c>
      <c r="J21" s="17">
        <f t="shared" si="34"/>
        <v>1</v>
      </c>
      <c r="K21" s="17"/>
      <c r="L21" s="17"/>
      <c r="M21" s="21">
        <f t="shared" si="1"/>
        <v>80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6">
        <f t="shared" si="2"/>
        <v>0</v>
      </c>
      <c r="Y21" s="27">
        <v>83</v>
      </c>
      <c r="Z21" s="27">
        <v>100</v>
      </c>
      <c r="AA21" s="27">
        <v>80</v>
      </c>
      <c r="AB21" s="27">
        <v>100</v>
      </c>
      <c r="AC21" s="27">
        <v>82</v>
      </c>
      <c r="AD21" s="27">
        <v>100</v>
      </c>
      <c r="AE21" s="27">
        <v>87</v>
      </c>
      <c r="AF21" s="27">
        <v>100</v>
      </c>
      <c r="AG21" s="28">
        <f t="shared" si="3"/>
        <v>104.57142857142857</v>
      </c>
      <c r="AH21" s="22">
        <f t="shared" si="7"/>
        <v>87</v>
      </c>
      <c r="AI21" s="22">
        <f t="shared" si="22"/>
        <v>87.5</v>
      </c>
      <c r="AJ21" s="22">
        <f t="shared" ref="AJ21:AO21" si="35">(AU21+BC21)/2</f>
        <v>87.5</v>
      </c>
      <c r="AK21" s="22">
        <f t="shared" si="35"/>
        <v>86.5</v>
      </c>
      <c r="AL21" s="22">
        <f t="shared" si="35"/>
        <v>85.5</v>
      </c>
      <c r="AM21" s="22">
        <f t="shared" si="35"/>
        <v>88</v>
      </c>
      <c r="AN21" s="22">
        <f t="shared" si="35"/>
        <v>42</v>
      </c>
      <c r="AO21" s="22">
        <f t="shared" si="35"/>
        <v>41</v>
      </c>
      <c r="AP21" s="30">
        <f t="shared" si="5"/>
        <v>86.428571428571431</v>
      </c>
      <c r="AQ21" s="31">
        <v>86</v>
      </c>
      <c r="AR21" s="32">
        <v>81</v>
      </c>
      <c r="AS21" s="35">
        <v>83</v>
      </c>
      <c r="AT21" s="35">
        <v>84</v>
      </c>
      <c r="AU21" s="35">
        <v>84</v>
      </c>
      <c r="AV21" s="35">
        <v>82</v>
      </c>
      <c r="AW21" s="35">
        <v>80</v>
      </c>
      <c r="AX21" s="35">
        <v>85</v>
      </c>
      <c r="AY21" s="35">
        <v>84</v>
      </c>
      <c r="AZ21" s="35">
        <v>82</v>
      </c>
      <c r="BA21" s="33">
        <v>91</v>
      </c>
      <c r="BB21" s="33">
        <v>91</v>
      </c>
      <c r="BC21" s="33">
        <v>91</v>
      </c>
      <c r="BD21" s="33">
        <v>91</v>
      </c>
      <c r="BE21" s="33">
        <v>91</v>
      </c>
      <c r="BF21" s="33">
        <v>91</v>
      </c>
      <c r="BG21" s="33"/>
      <c r="BH21" s="33"/>
    </row>
    <row r="22" spans="1:60" ht="13.8" x14ac:dyDescent="0.3">
      <c r="A22" s="20">
        <v>60200125068</v>
      </c>
      <c r="B22" s="34" t="s">
        <v>73</v>
      </c>
      <c r="C22" s="17">
        <v>1</v>
      </c>
      <c r="D22" s="17">
        <v>1</v>
      </c>
      <c r="E22" s="17">
        <v>1</v>
      </c>
      <c r="F22" s="17">
        <f t="shared" ref="F22:J22" si="36">IF(AA22&gt;0,1,0)</f>
        <v>1</v>
      </c>
      <c r="G22" s="17">
        <f t="shared" si="36"/>
        <v>1</v>
      </c>
      <c r="H22" s="17">
        <f t="shared" si="36"/>
        <v>1</v>
      </c>
      <c r="I22" s="17">
        <f t="shared" si="36"/>
        <v>1</v>
      </c>
      <c r="J22" s="17">
        <f t="shared" si="36"/>
        <v>1</v>
      </c>
      <c r="K22" s="17"/>
      <c r="L22" s="17"/>
      <c r="M22" s="21">
        <f t="shared" si="1"/>
        <v>80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100</v>
      </c>
      <c r="X22" s="26">
        <f t="shared" si="2"/>
        <v>10</v>
      </c>
      <c r="Y22" s="27">
        <v>100</v>
      </c>
      <c r="Z22" s="27">
        <v>80</v>
      </c>
      <c r="AA22" s="27">
        <v>100</v>
      </c>
      <c r="AB22" s="27">
        <v>80</v>
      </c>
      <c r="AC22" s="27">
        <v>100</v>
      </c>
      <c r="AD22" s="27">
        <v>100</v>
      </c>
      <c r="AE22" s="27">
        <v>100</v>
      </c>
      <c r="AF22" s="27">
        <v>0</v>
      </c>
      <c r="AG22" s="28">
        <f t="shared" si="3"/>
        <v>94.285714285714292</v>
      </c>
      <c r="AH22" s="22">
        <f t="shared" si="7"/>
        <v>90</v>
      </c>
      <c r="AI22" s="22">
        <f t="shared" si="22"/>
        <v>42</v>
      </c>
      <c r="AJ22" s="22">
        <f t="shared" ref="AJ22:AO22" si="37">(AU22+BC22)/2</f>
        <v>42.5</v>
      </c>
      <c r="AK22" s="22">
        <f t="shared" si="37"/>
        <v>42</v>
      </c>
      <c r="AL22" s="22">
        <f t="shared" si="37"/>
        <v>41</v>
      </c>
      <c r="AM22" s="22">
        <f t="shared" si="37"/>
        <v>42.5</v>
      </c>
      <c r="AN22" s="22">
        <f t="shared" si="37"/>
        <v>43</v>
      </c>
      <c r="AO22" s="22">
        <f t="shared" si="37"/>
        <v>42.5</v>
      </c>
      <c r="AP22" s="30">
        <f t="shared" si="5"/>
        <v>55.071428571428569</v>
      </c>
      <c r="AQ22" s="31">
        <v>86</v>
      </c>
      <c r="AR22" s="32">
        <v>80</v>
      </c>
      <c r="AS22" s="35">
        <v>89</v>
      </c>
      <c r="AT22" s="35">
        <v>84</v>
      </c>
      <c r="AU22" s="35">
        <v>85</v>
      </c>
      <c r="AV22" s="35">
        <v>84</v>
      </c>
      <c r="AW22" s="35">
        <v>82</v>
      </c>
      <c r="AX22" s="35">
        <v>85</v>
      </c>
      <c r="AY22" s="35">
        <v>86</v>
      </c>
      <c r="AZ22" s="35">
        <v>85</v>
      </c>
      <c r="BA22" s="33">
        <v>91</v>
      </c>
      <c r="BB22" s="33"/>
      <c r="BC22" s="33"/>
      <c r="BD22" s="33"/>
      <c r="BE22" s="33"/>
      <c r="BF22" s="33"/>
      <c r="BG22" s="33"/>
      <c r="BH22" s="33"/>
    </row>
    <row r="23" spans="1:60" ht="13.8" x14ac:dyDescent="0.3">
      <c r="A23" s="24">
        <v>60200125071</v>
      </c>
      <c r="B23" s="34" t="s">
        <v>77</v>
      </c>
      <c r="C23" s="17">
        <v>1</v>
      </c>
      <c r="D23" s="17">
        <v>1</v>
      </c>
      <c r="E23" s="17">
        <v>1</v>
      </c>
      <c r="F23" s="17">
        <f t="shared" ref="F23:J23" si="38">IF(AA23&gt;0,1,0)</f>
        <v>0</v>
      </c>
      <c r="G23" s="17">
        <f t="shared" si="38"/>
        <v>1</v>
      </c>
      <c r="H23" s="17">
        <f t="shared" si="38"/>
        <v>1</v>
      </c>
      <c r="I23" s="17">
        <f t="shared" si="38"/>
        <v>1</v>
      </c>
      <c r="J23" s="17">
        <f t="shared" si="38"/>
        <v>1</v>
      </c>
      <c r="K23" s="17"/>
      <c r="L23" s="17"/>
      <c r="M23" s="21">
        <f t="shared" si="1"/>
        <v>70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100</v>
      </c>
      <c r="X23" s="26">
        <f t="shared" si="2"/>
        <v>10</v>
      </c>
      <c r="Y23" s="27">
        <v>80</v>
      </c>
      <c r="Z23" s="27">
        <v>100</v>
      </c>
      <c r="AA23" s="27">
        <v>0</v>
      </c>
      <c r="AB23" s="27">
        <v>100</v>
      </c>
      <c r="AC23" s="27">
        <v>82</v>
      </c>
      <c r="AD23" s="27">
        <v>100</v>
      </c>
      <c r="AE23" s="27">
        <v>87</v>
      </c>
      <c r="AF23" s="27">
        <v>100</v>
      </c>
      <c r="AG23" s="28">
        <f t="shared" si="3"/>
        <v>92.714285714285708</v>
      </c>
      <c r="AH23" s="22">
        <f t="shared" si="7"/>
        <v>44.5</v>
      </c>
      <c r="AI23" s="22">
        <v>85</v>
      </c>
      <c r="AJ23" s="22">
        <f t="shared" ref="AJ23:AO23" si="39">(AU23+BC23)/2</f>
        <v>85.5</v>
      </c>
      <c r="AK23" s="22">
        <f t="shared" si="39"/>
        <v>40</v>
      </c>
      <c r="AL23" s="22">
        <f t="shared" si="39"/>
        <v>37.5</v>
      </c>
      <c r="AM23" s="22">
        <f t="shared" si="39"/>
        <v>42.5</v>
      </c>
      <c r="AN23" s="22">
        <f t="shared" si="39"/>
        <v>43</v>
      </c>
      <c r="AO23" s="22">
        <f t="shared" si="39"/>
        <v>42</v>
      </c>
      <c r="AP23" s="30">
        <f t="shared" si="5"/>
        <v>60</v>
      </c>
      <c r="AQ23" s="31">
        <v>86</v>
      </c>
      <c r="AR23" s="32">
        <v>80</v>
      </c>
      <c r="AS23" s="35">
        <v>89</v>
      </c>
      <c r="AT23" s="35"/>
      <c r="AU23" s="35">
        <v>80</v>
      </c>
      <c r="AV23" s="35">
        <v>80</v>
      </c>
      <c r="AW23" s="35">
        <v>75</v>
      </c>
      <c r="AX23" s="35">
        <v>85</v>
      </c>
      <c r="AY23" s="35">
        <v>86</v>
      </c>
      <c r="AZ23" s="35">
        <v>84</v>
      </c>
      <c r="BA23" s="33"/>
      <c r="BB23" s="33">
        <v>91</v>
      </c>
      <c r="BC23" s="33">
        <v>91</v>
      </c>
      <c r="BD23" s="33"/>
      <c r="BE23" s="33"/>
      <c r="BF23" s="33"/>
      <c r="BG23" s="33"/>
      <c r="BH23" s="33"/>
    </row>
    <row r="24" spans="1:60" ht="13.8" x14ac:dyDescent="0.3">
      <c r="A24" s="24">
        <v>60200125076</v>
      </c>
      <c r="B24" s="34" t="s">
        <v>81</v>
      </c>
      <c r="C24" s="17">
        <v>1</v>
      </c>
      <c r="D24" s="17">
        <v>1</v>
      </c>
      <c r="E24" s="17">
        <v>1</v>
      </c>
      <c r="F24" s="17">
        <f t="shared" ref="F24:J24" si="40">IF(AA24&gt;0,1,0)</f>
        <v>1</v>
      </c>
      <c r="G24" s="17">
        <f t="shared" si="40"/>
        <v>1</v>
      </c>
      <c r="H24" s="17">
        <f t="shared" si="40"/>
        <v>1</v>
      </c>
      <c r="I24" s="17">
        <f t="shared" si="40"/>
        <v>1</v>
      </c>
      <c r="J24" s="17">
        <f t="shared" si="40"/>
        <v>1</v>
      </c>
      <c r="K24" s="17"/>
      <c r="L24" s="17"/>
      <c r="M24" s="21">
        <f t="shared" si="1"/>
        <v>80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100</v>
      </c>
      <c r="X24" s="26">
        <f t="shared" si="2"/>
        <v>10</v>
      </c>
      <c r="Y24" s="27">
        <v>100</v>
      </c>
      <c r="Z24" s="27">
        <v>86</v>
      </c>
      <c r="AA24" s="27">
        <v>100</v>
      </c>
      <c r="AB24" s="27">
        <v>82</v>
      </c>
      <c r="AC24" s="27">
        <v>100</v>
      </c>
      <c r="AD24" s="27">
        <v>100</v>
      </c>
      <c r="AE24" s="27">
        <v>100</v>
      </c>
      <c r="AF24" s="27">
        <v>85</v>
      </c>
      <c r="AG24" s="28">
        <f t="shared" si="3"/>
        <v>107.57142857142857</v>
      </c>
      <c r="AH24" s="22">
        <f t="shared" si="7"/>
        <v>90</v>
      </c>
      <c r="AI24" s="22">
        <f t="shared" ref="AI24:AO24" si="41">(AT24+BB24)/2</f>
        <v>0</v>
      </c>
      <c r="AJ24" s="22">
        <f t="shared" si="41"/>
        <v>40</v>
      </c>
      <c r="AK24" s="22">
        <f t="shared" si="41"/>
        <v>41</v>
      </c>
      <c r="AL24" s="22">
        <f t="shared" si="41"/>
        <v>40</v>
      </c>
      <c r="AM24" s="22">
        <f t="shared" si="41"/>
        <v>40</v>
      </c>
      <c r="AN24" s="22">
        <f t="shared" si="41"/>
        <v>82</v>
      </c>
      <c r="AO24" s="22">
        <f t="shared" si="41"/>
        <v>82.5</v>
      </c>
      <c r="AP24" s="30">
        <f t="shared" si="5"/>
        <v>59.357142857142854</v>
      </c>
      <c r="AQ24" s="31">
        <v>86</v>
      </c>
      <c r="AR24" s="32">
        <v>80</v>
      </c>
      <c r="AS24" s="35">
        <v>89</v>
      </c>
      <c r="AT24" s="35"/>
      <c r="AU24" s="35">
        <v>80</v>
      </c>
      <c r="AV24" s="35">
        <v>82</v>
      </c>
      <c r="AW24" s="35">
        <v>80</v>
      </c>
      <c r="AX24" s="35">
        <v>80</v>
      </c>
      <c r="AY24" s="35">
        <v>80</v>
      </c>
      <c r="AZ24" s="35">
        <v>81</v>
      </c>
      <c r="BA24" s="33">
        <v>91</v>
      </c>
      <c r="BB24" s="33"/>
      <c r="BC24" s="33"/>
      <c r="BD24" s="33"/>
      <c r="BE24" s="33"/>
      <c r="BF24" s="33"/>
      <c r="BG24" s="33">
        <v>84</v>
      </c>
      <c r="BH24" s="33">
        <v>84</v>
      </c>
    </row>
    <row r="25" spans="1:60" ht="13.8" x14ac:dyDescent="0.3">
      <c r="A25" s="24">
        <v>60200125082</v>
      </c>
      <c r="B25" s="34" t="s">
        <v>83</v>
      </c>
      <c r="C25" s="17">
        <v>1</v>
      </c>
      <c r="D25" s="17">
        <v>1</v>
      </c>
      <c r="E25" s="17">
        <v>1</v>
      </c>
      <c r="F25" s="17">
        <f t="shared" ref="F25:J25" si="42">IF(AA25&gt;0,1,0)</f>
        <v>1</v>
      </c>
      <c r="G25" s="17">
        <f t="shared" si="42"/>
        <v>1</v>
      </c>
      <c r="H25" s="17">
        <f t="shared" si="42"/>
        <v>1</v>
      </c>
      <c r="I25" s="17">
        <f t="shared" si="42"/>
        <v>1</v>
      </c>
      <c r="J25" s="17">
        <f t="shared" si="42"/>
        <v>1</v>
      </c>
      <c r="K25" s="17"/>
      <c r="L25" s="17"/>
      <c r="M25" s="21">
        <f t="shared" si="1"/>
        <v>80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100</v>
      </c>
      <c r="X25" s="26">
        <f t="shared" si="2"/>
        <v>10</v>
      </c>
      <c r="Y25" s="27">
        <v>100</v>
      </c>
      <c r="Z25" s="27">
        <v>85</v>
      </c>
      <c r="AA25" s="27">
        <v>100</v>
      </c>
      <c r="AB25" s="27">
        <v>82</v>
      </c>
      <c r="AC25" s="27">
        <v>100</v>
      </c>
      <c r="AD25" s="27">
        <v>100</v>
      </c>
      <c r="AE25" s="27">
        <v>87</v>
      </c>
      <c r="AF25" s="27">
        <v>100</v>
      </c>
      <c r="AG25" s="28">
        <f t="shared" si="3"/>
        <v>107.71428571428571</v>
      </c>
      <c r="AH25" s="22">
        <f t="shared" si="7"/>
        <v>90</v>
      </c>
      <c r="AI25" s="22">
        <v>80</v>
      </c>
      <c r="AJ25" s="22">
        <f t="shared" ref="AJ25:AO25" si="43">(AU25+BC25)/2</f>
        <v>87.5</v>
      </c>
      <c r="AK25" s="22">
        <f t="shared" si="43"/>
        <v>42</v>
      </c>
      <c r="AL25" s="22">
        <f t="shared" si="43"/>
        <v>42</v>
      </c>
      <c r="AM25" s="22">
        <f t="shared" si="43"/>
        <v>42.5</v>
      </c>
      <c r="AN25" s="22">
        <f t="shared" si="43"/>
        <v>43</v>
      </c>
      <c r="AO25" s="22">
        <f t="shared" si="43"/>
        <v>43</v>
      </c>
      <c r="AP25" s="30">
        <f t="shared" si="5"/>
        <v>67.142857142857139</v>
      </c>
      <c r="AQ25" s="31">
        <v>86</v>
      </c>
      <c r="AR25" s="32">
        <v>80</v>
      </c>
      <c r="AS25" s="35">
        <v>89</v>
      </c>
      <c r="AT25" s="35">
        <v>83</v>
      </c>
      <c r="AU25" s="35">
        <v>84</v>
      </c>
      <c r="AV25" s="35">
        <v>84</v>
      </c>
      <c r="AW25" s="35">
        <v>84</v>
      </c>
      <c r="AX25" s="35">
        <v>85</v>
      </c>
      <c r="AY25" s="35">
        <v>86</v>
      </c>
      <c r="AZ25" s="35">
        <v>86</v>
      </c>
      <c r="BA25" s="33">
        <v>91</v>
      </c>
      <c r="BB25" s="33">
        <v>91</v>
      </c>
      <c r="BC25" s="33">
        <v>91</v>
      </c>
      <c r="BD25" s="33"/>
      <c r="BE25" s="33"/>
      <c r="BF25" s="33"/>
      <c r="BG25" s="33"/>
      <c r="BH25" s="33"/>
    </row>
    <row r="26" spans="1:60" ht="13.8" x14ac:dyDescent="0.3">
      <c r="A26" s="29">
        <v>60200125089</v>
      </c>
      <c r="B26" s="34" t="s">
        <v>85</v>
      </c>
      <c r="C26" s="17">
        <v>1</v>
      </c>
      <c r="D26" s="17">
        <v>1</v>
      </c>
      <c r="E26" s="17">
        <v>1</v>
      </c>
      <c r="F26" s="17">
        <f t="shared" ref="F26:J26" si="44">IF(AA26&gt;0,1,0)</f>
        <v>0</v>
      </c>
      <c r="G26" s="17">
        <f t="shared" si="44"/>
        <v>1</v>
      </c>
      <c r="H26" s="17">
        <f t="shared" si="44"/>
        <v>1</v>
      </c>
      <c r="I26" s="17">
        <f t="shared" si="44"/>
        <v>1</v>
      </c>
      <c r="J26" s="17">
        <f t="shared" si="44"/>
        <v>1</v>
      </c>
      <c r="K26" s="17"/>
      <c r="L26" s="17"/>
      <c r="M26" s="21">
        <f t="shared" si="1"/>
        <v>70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100</v>
      </c>
      <c r="X26" s="26">
        <f t="shared" si="2"/>
        <v>10</v>
      </c>
      <c r="Y26" s="22">
        <v>80</v>
      </c>
      <c r="Z26" s="22">
        <v>100</v>
      </c>
      <c r="AA26" s="22">
        <v>0</v>
      </c>
      <c r="AB26" s="22">
        <v>100</v>
      </c>
      <c r="AC26" s="22">
        <v>86</v>
      </c>
      <c r="AD26" s="22">
        <v>100</v>
      </c>
      <c r="AE26" s="22">
        <v>87</v>
      </c>
      <c r="AF26" s="22">
        <v>100</v>
      </c>
      <c r="AG26" s="28">
        <f t="shared" si="3"/>
        <v>93.285714285714292</v>
      </c>
      <c r="AH26" s="22">
        <f t="shared" si="7"/>
        <v>88.5</v>
      </c>
      <c r="AI26" s="22">
        <f t="shared" ref="AI26:AO26" si="45">(AT26+BB26)/2</f>
        <v>45.5</v>
      </c>
      <c r="AJ26" s="22">
        <f t="shared" si="45"/>
        <v>88.5</v>
      </c>
      <c r="AK26" s="22">
        <f t="shared" si="45"/>
        <v>41</v>
      </c>
      <c r="AL26" s="22">
        <f t="shared" si="45"/>
        <v>42</v>
      </c>
      <c r="AM26" s="22">
        <f t="shared" si="45"/>
        <v>42.5</v>
      </c>
      <c r="AN26" s="22">
        <f t="shared" si="45"/>
        <v>84</v>
      </c>
      <c r="AO26" s="22">
        <f t="shared" si="45"/>
        <v>85</v>
      </c>
      <c r="AP26" s="30">
        <f t="shared" si="5"/>
        <v>73.857142857142861</v>
      </c>
      <c r="AQ26" s="31">
        <v>86</v>
      </c>
      <c r="AR26" s="32">
        <v>80</v>
      </c>
      <c r="AS26" s="35">
        <v>86</v>
      </c>
      <c r="AT26" s="35"/>
      <c r="AU26" s="35">
        <v>86</v>
      </c>
      <c r="AV26" s="35">
        <v>82</v>
      </c>
      <c r="AW26" s="35">
        <v>84</v>
      </c>
      <c r="AX26" s="35">
        <v>85</v>
      </c>
      <c r="AY26" s="35">
        <v>84</v>
      </c>
      <c r="AZ26" s="35">
        <v>86</v>
      </c>
      <c r="BA26" s="33">
        <v>91</v>
      </c>
      <c r="BB26" s="33">
        <v>91</v>
      </c>
      <c r="BC26" s="33">
        <v>91</v>
      </c>
      <c r="BD26" s="33"/>
      <c r="BE26" s="33"/>
      <c r="BF26" s="33"/>
      <c r="BG26" s="33">
        <v>84</v>
      </c>
      <c r="BH26" s="33">
        <v>84</v>
      </c>
    </row>
    <row r="27" spans="1:60" ht="13.8" x14ac:dyDescent="0.3">
      <c r="A27" s="14">
        <v>60200125090</v>
      </c>
      <c r="B27" s="34" t="s">
        <v>88</v>
      </c>
      <c r="C27" s="17">
        <v>1</v>
      </c>
      <c r="D27" s="17">
        <v>1</v>
      </c>
      <c r="E27" s="17">
        <v>1</v>
      </c>
      <c r="F27" s="17">
        <f t="shared" ref="F27:J27" si="46">IF(AA27&gt;0,1,0)</f>
        <v>1</v>
      </c>
      <c r="G27" s="17">
        <f t="shared" si="46"/>
        <v>1</v>
      </c>
      <c r="H27" s="17">
        <f t="shared" si="46"/>
        <v>1</v>
      </c>
      <c r="I27" s="17">
        <f t="shared" si="46"/>
        <v>1</v>
      </c>
      <c r="J27" s="17">
        <f t="shared" si="46"/>
        <v>1</v>
      </c>
      <c r="K27" s="17"/>
      <c r="L27" s="17"/>
      <c r="M27" s="21">
        <f t="shared" si="1"/>
        <v>80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100</v>
      </c>
      <c r="X27" s="26">
        <f t="shared" si="2"/>
        <v>10</v>
      </c>
      <c r="Y27" s="27">
        <v>100</v>
      </c>
      <c r="Z27" s="27">
        <v>85</v>
      </c>
      <c r="AA27" s="27">
        <v>100</v>
      </c>
      <c r="AB27" s="27">
        <v>82</v>
      </c>
      <c r="AC27" s="27">
        <v>100</v>
      </c>
      <c r="AD27" s="27">
        <v>100</v>
      </c>
      <c r="AE27" s="27">
        <v>87</v>
      </c>
      <c r="AF27" s="27">
        <v>100</v>
      </c>
      <c r="AG27" s="28">
        <f t="shared" si="3"/>
        <v>107.71428571428571</v>
      </c>
      <c r="AH27" s="22">
        <f t="shared" si="7"/>
        <v>90</v>
      </c>
      <c r="AI27" s="22">
        <v>83</v>
      </c>
      <c r="AJ27" s="22">
        <f t="shared" ref="AJ27:AO27" si="47">(AU27+BC27)/2</f>
        <v>87.5</v>
      </c>
      <c r="AK27" s="22">
        <f t="shared" si="47"/>
        <v>41</v>
      </c>
      <c r="AL27" s="22">
        <f t="shared" si="47"/>
        <v>40</v>
      </c>
      <c r="AM27" s="22">
        <f t="shared" si="47"/>
        <v>42.5</v>
      </c>
      <c r="AN27" s="22">
        <f t="shared" si="47"/>
        <v>43</v>
      </c>
      <c r="AO27" s="22">
        <f t="shared" si="47"/>
        <v>43</v>
      </c>
      <c r="AP27" s="30">
        <f t="shared" si="5"/>
        <v>67.142857142857139</v>
      </c>
      <c r="AQ27" s="31">
        <v>86</v>
      </c>
      <c r="AR27" s="32">
        <v>80</v>
      </c>
      <c r="AS27" s="35">
        <v>89</v>
      </c>
      <c r="AT27" s="35">
        <v>82</v>
      </c>
      <c r="AU27" s="35">
        <v>84</v>
      </c>
      <c r="AV27" s="35">
        <v>82</v>
      </c>
      <c r="AW27" s="35">
        <v>80</v>
      </c>
      <c r="AX27" s="35">
        <v>85</v>
      </c>
      <c r="AY27" s="35">
        <v>86</v>
      </c>
      <c r="AZ27" s="35">
        <v>86</v>
      </c>
      <c r="BA27" s="33">
        <v>91</v>
      </c>
      <c r="BB27" s="33">
        <v>91</v>
      </c>
      <c r="BC27" s="33">
        <v>91</v>
      </c>
      <c r="BD27" s="33"/>
      <c r="BE27" s="33"/>
      <c r="BF27" s="33"/>
      <c r="BG27" s="33"/>
      <c r="BH27" s="33"/>
    </row>
    <row r="28" spans="1:60" ht="13.8" x14ac:dyDescent="0.3">
      <c r="A28" s="24">
        <v>60200125092</v>
      </c>
      <c r="B28" s="34" t="s">
        <v>90</v>
      </c>
      <c r="C28" s="17">
        <v>1</v>
      </c>
      <c r="D28" s="17">
        <v>1</v>
      </c>
      <c r="E28" s="17">
        <v>1</v>
      </c>
      <c r="F28" s="17">
        <f t="shared" ref="F28:J28" si="48">IF(AA28&gt;0,1,0)</f>
        <v>0</v>
      </c>
      <c r="G28" s="17">
        <f t="shared" si="48"/>
        <v>0</v>
      </c>
      <c r="H28" s="17">
        <f t="shared" si="48"/>
        <v>0</v>
      </c>
      <c r="I28" s="17">
        <f t="shared" si="48"/>
        <v>1</v>
      </c>
      <c r="J28" s="17">
        <f t="shared" si="48"/>
        <v>0</v>
      </c>
      <c r="K28" s="17"/>
      <c r="L28" s="17"/>
      <c r="M28" s="21">
        <f t="shared" si="1"/>
        <v>40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6">
        <f t="shared" si="2"/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100</v>
      </c>
      <c r="AE28" s="27">
        <v>0</v>
      </c>
      <c r="AF28" s="27">
        <v>0</v>
      </c>
      <c r="AG28" s="28">
        <f t="shared" si="3"/>
        <v>14.285714285714286</v>
      </c>
      <c r="AH28" s="22">
        <f t="shared" si="7"/>
        <v>0</v>
      </c>
      <c r="AI28" s="22">
        <f t="shared" ref="AI28:AO28" si="49">(AT28+BB28)/2</f>
        <v>0</v>
      </c>
      <c r="AJ28" s="22">
        <f t="shared" si="49"/>
        <v>0</v>
      </c>
      <c r="AK28" s="22">
        <f t="shared" si="49"/>
        <v>0</v>
      </c>
      <c r="AL28" s="22">
        <f t="shared" si="49"/>
        <v>0</v>
      </c>
      <c r="AM28" s="22">
        <f t="shared" si="49"/>
        <v>0</v>
      </c>
      <c r="AN28" s="22">
        <f t="shared" si="49"/>
        <v>0</v>
      </c>
      <c r="AO28" s="22">
        <f t="shared" si="49"/>
        <v>0</v>
      </c>
      <c r="AP28" s="30">
        <f t="shared" si="5"/>
        <v>0</v>
      </c>
      <c r="AQ28" s="31">
        <v>86</v>
      </c>
      <c r="AR28" s="32">
        <f>(Kontrak!$B$6*M28)+(Kontrak!$B$4*X28)+(Kontrak!$B$2*AG28)+(Kontrak!$B$3*AP28)+(Kontrak!$B$5*AQ28)</f>
        <v>32.657142857142858</v>
      </c>
      <c r="AS28" s="35"/>
      <c r="AT28" s="35"/>
      <c r="AU28" s="35"/>
      <c r="AV28" s="35"/>
      <c r="AW28" s="35"/>
      <c r="AX28" s="35"/>
      <c r="AY28" s="35"/>
      <c r="AZ28" s="35"/>
      <c r="BA28" s="33"/>
      <c r="BB28" s="33"/>
      <c r="BC28" s="33"/>
      <c r="BD28" s="33"/>
      <c r="BE28" s="33"/>
      <c r="BF28" s="33"/>
      <c r="BG28" s="33"/>
      <c r="BH28" s="33"/>
    </row>
    <row r="29" spans="1:60" ht="13.8" x14ac:dyDescent="0.3">
      <c r="A29" s="24">
        <v>60200125093</v>
      </c>
      <c r="B29" s="34" t="s">
        <v>92</v>
      </c>
      <c r="C29" s="17">
        <v>1</v>
      </c>
      <c r="D29" s="17">
        <v>1</v>
      </c>
      <c r="E29" s="17">
        <v>1</v>
      </c>
      <c r="F29" s="17">
        <f t="shared" ref="F29:J29" si="50">IF(AA29&gt;0,1,0)</f>
        <v>1</v>
      </c>
      <c r="G29" s="17">
        <f t="shared" si="50"/>
        <v>1</v>
      </c>
      <c r="H29" s="17">
        <f t="shared" si="50"/>
        <v>1</v>
      </c>
      <c r="I29" s="17">
        <f t="shared" si="50"/>
        <v>1</v>
      </c>
      <c r="J29" s="17">
        <f t="shared" si="50"/>
        <v>1</v>
      </c>
      <c r="K29" s="17"/>
      <c r="L29" s="17"/>
      <c r="M29" s="21">
        <f t="shared" si="1"/>
        <v>80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6">
        <f t="shared" si="2"/>
        <v>0</v>
      </c>
      <c r="Y29" s="27">
        <v>80</v>
      </c>
      <c r="Z29" s="27">
        <v>100</v>
      </c>
      <c r="AA29" s="27">
        <v>84</v>
      </c>
      <c r="AB29" s="27">
        <v>100</v>
      </c>
      <c r="AC29" s="27">
        <v>82</v>
      </c>
      <c r="AD29" s="27">
        <v>100</v>
      </c>
      <c r="AE29" s="27">
        <v>87</v>
      </c>
      <c r="AF29" s="27">
        <v>100</v>
      </c>
      <c r="AG29" s="28">
        <f t="shared" si="3"/>
        <v>104.71428571428571</v>
      </c>
      <c r="AH29" s="22">
        <f t="shared" si="7"/>
        <v>90</v>
      </c>
      <c r="AI29" s="22">
        <f t="shared" ref="AI29:AO29" si="51">(AT29+BB29)/2</f>
        <v>85.5</v>
      </c>
      <c r="AJ29" s="22">
        <f t="shared" si="51"/>
        <v>90</v>
      </c>
      <c r="AK29" s="22">
        <f t="shared" si="51"/>
        <v>42</v>
      </c>
      <c r="AL29" s="22">
        <f t="shared" si="51"/>
        <v>37.5</v>
      </c>
      <c r="AM29" s="22">
        <f t="shared" si="51"/>
        <v>42.5</v>
      </c>
      <c r="AN29" s="22">
        <f t="shared" si="51"/>
        <v>43</v>
      </c>
      <c r="AO29" s="22">
        <f t="shared" si="51"/>
        <v>40</v>
      </c>
      <c r="AP29" s="30">
        <f t="shared" si="5"/>
        <v>67.214285714285708</v>
      </c>
      <c r="AQ29" s="31">
        <v>86</v>
      </c>
      <c r="AR29" s="32">
        <v>80</v>
      </c>
      <c r="AS29" s="35">
        <v>89</v>
      </c>
      <c r="AT29" s="35">
        <v>80</v>
      </c>
      <c r="AU29" s="35">
        <v>89</v>
      </c>
      <c r="AV29" s="35">
        <v>84</v>
      </c>
      <c r="AW29" s="35">
        <v>75</v>
      </c>
      <c r="AX29" s="35">
        <v>85</v>
      </c>
      <c r="AY29" s="35">
        <v>86</v>
      </c>
      <c r="AZ29" s="35">
        <v>80</v>
      </c>
      <c r="BA29" s="33">
        <v>91</v>
      </c>
      <c r="BB29" s="33">
        <v>91</v>
      </c>
      <c r="BC29" s="33">
        <v>91</v>
      </c>
      <c r="BD29" s="33"/>
      <c r="BE29" s="33"/>
      <c r="BF29" s="33"/>
      <c r="BG29" s="33"/>
      <c r="BH29" s="33"/>
    </row>
    <row r="30" spans="1:60" ht="13.8" x14ac:dyDescent="0.3">
      <c r="A30" s="29">
        <v>60200125097</v>
      </c>
      <c r="B30" s="39" t="s">
        <v>94</v>
      </c>
      <c r="C30" s="17">
        <v>1</v>
      </c>
      <c r="D30" s="17">
        <v>1</v>
      </c>
      <c r="E30" s="17">
        <v>1</v>
      </c>
      <c r="F30" s="17">
        <f t="shared" ref="F30:J30" si="52">IF(AA30&gt;0,1,0)</f>
        <v>0</v>
      </c>
      <c r="G30" s="17">
        <f t="shared" si="52"/>
        <v>0</v>
      </c>
      <c r="H30" s="17">
        <f t="shared" si="52"/>
        <v>0</v>
      </c>
      <c r="I30" s="17">
        <f t="shared" si="52"/>
        <v>1</v>
      </c>
      <c r="J30" s="17">
        <f t="shared" si="52"/>
        <v>0</v>
      </c>
      <c r="K30" s="17"/>
      <c r="L30" s="17"/>
      <c r="M30" s="21">
        <f t="shared" si="1"/>
        <v>40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6">
        <f t="shared" si="2"/>
        <v>0</v>
      </c>
      <c r="Y30" s="27">
        <v>100</v>
      </c>
      <c r="Z30" s="27">
        <v>0</v>
      </c>
      <c r="AA30" s="27">
        <v>0</v>
      </c>
      <c r="AB30" s="27">
        <v>0</v>
      </c>
      <c r="AC30" s="27">
        <v>0</v>
      </c>
      <c r="AD30" s="27">
        <v>100</v>
      </c>
      <c r="AE30" s="27">
        <v>0</v>
      </c>
      <c r="AF30" s="27">
        <v>0</v>
      </c>
      <c r="AG30" s="28">
        <f t="shared" si="3"/>
        <v>28.571428571428573</v>
      </c>
      <c r="AH30" s="22">
        <f t="shared" si="7"/>
        <v>45.5</v>
      </c>
      <c r="AI30" s="22">
        <f t="shared" ref="AI30:AO30" si="53">(AT30+BB30)/2</f>
        <v>0</v>
      </c>
      <c r="AJ30" s="22">
        <f t="shared" si="53"/>
        <v>0</v>
      </c>
      <c r="AK30" s="22">
        <f t="shared" si="53"/>
        <v>0</v>
      </c>
      <c r="AL30" s="22">
        <f t="shared" si="53"/>
        <v>0</v>
      </c>
      <c r="AM30" s="22">
        <f t="shared" si="53"/>
        <v>0</v>
      </c>
      <c r="AN30" s="22">
        <f t="shared" si="53"/>
        <v>0</v>
      </c>
      <c r="AO30" s="22">
        <f t="shared" si="53"/>
        <v>0</v>
      </c>
      <c r="AP30" s="30">
        <f t="shared" si="5"/>
        <v>6.5</v>
      </c>
      <c r="AQ30" s="31">
        <v>86</v>
      </c>
      <c r="AR30" s="32">
        <f>(Kontrak!$B$6*M30)+(Kontrak!$B$4*X30)+(Kontrak!$B$2*AG30)+(Kontrak!$B$3*AP30)+(Kontrak!$B$5*AQ30)</f>
        <v>37.464285714285715</v>
      </c>
      <c r="AS30" s="35"/>
      <c r="AT30" s="35"/>
      <c r="AU30" s="35"/>
      <c r="AV30" s="35"/>
      <c r="AW30" s="35"/>
      <c r="AX30" s="35"/>
      <c r="AY30" s="35"/>
      <c r="AZ30" s="35"/>
      <c r="BA30" s="33">
        <v>91</v>
      </c>
      <c r="BB30" s="33"/>
      <c r="BC30" s="33"/>
      <c r="BD30" s="33"/>
      <c r="BE30" s="33"/>
      <c r="BF30" s="33"/>
      <c r="BG30" s="33"/>
      <c r="BH30" s="33"/>
    </row>
    <row r="31" spans="1:60" ht="13.8" x14ac:dyDescent="0.3">
      <c r="A31" s="37">
        <v>60200125108</v>
      </c>
      <c r="B31" s="39" t="s">
        <v>96</v>
      </c>
      <c r="C31" s="17">
        <v>1</v>
      </c>
      <c r="D31" s="17">
        <v>1</v>
      </c>
      <c r="E31" s="17">
        <v>1</v>
      </c>
      <c r="F31" s="17">
        <f t="shared" ref="F31:J31" si="54">IF(AA31&gt;0,1,0)</f>
        <v>1</v>
      </c>
      <c r="G31" s="17">
        <f t="shared" si="54"/>
        <v>1</v>
      </c>
      <c r="H31" s="17">
        <f t="shared" si="54"/>
        <v>1</v>
      </c>
      <c r="I31" s="17">
        <f t="shared" si="54"/>
        <v>1</v>
      </c>
      <c r="J31" s="17">
        <f t="shared" si="54"/>
        <v>1</v>
      </c>
      <c r="K31" s="17"/>
      <c r="L31" s="17"/>
      <c r="M31" s="21">
        <f t="shared" si="1"/>
        <v>80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100</v>
      </c>
      <c r="X31" s="26">
        <f t="shared" si="2"/>
        <v>10</v>
      </c>
      <c r="Y31" s="27">
        <v>100</v>
      </c>
      <c r="Z31" s="27">
        <v>85</v>
      </c>
      <c r="AA31" s="27">
        <v>100</v>
      </c>
      <c r="AB31" s="27">
        <v>80</v>
      </c>
      <c r="AC31" s="27">
        <v>100</v>
      </c>
      <c r="AD31" s="27">
        <v>100</v>
      </c>
      <c r="AE31" s="27">
        <v>87</v>
      </c>
      <c r="AF31" s="27">
        <v>87</v>
      </c>
      <c r="AG31" s="28">
        <f t="shared" si="3"/>
        <v>105.57142857142857</v>
      </c>
      <c r="AH31" s="22">
        <f t="shared" si="7"/>
        <v>90</v>
      </c>
      <c r="AI31" s="22">
        <f t="shared" ref="AI31:AO31" si="55">(AT31+BB31)/2</f>
        <v>85.5</v>
      </c>
      <c r="AJ31" s="22">
        <f t="shared" si="55"/>
        <v>89</v>
      </c>
      <c r="AK31" s="22">
        <f t="shared" si="55"/>
        <v>43</v>
      </c>
      <c r="AL31" s="22">
        <f t="shared" si="55"/>
        <v>43</v>
      </c>
      <c r="AM31" s="22">
        <f t="shared" si="55"/>
        <v>42.5</v>
      </c>
      <c r="AN31" s="22">
        <f t="shared" si="55"/>
        <v>85</v>
      </c>
      <c r="AO31" s="22">
        <f t="shared" si="55"/>
        <v>85</v>
      </c>
      <c r="AP31" s="30">
        <f t="shared" si="5"/>
        <v>80.428571428571431</v>
      </c>
      <c r="AQ31" s="31">
        <v>86</v>
      </c>
      <c r="AR31" s="32">
        <f>(Kontrak!$B$6*M31)+(Kontrak!$B$4*X31)+(Kontrak!$B$2*AG31)+(Kontrak!$B$3*AP31)+(Kontrak!$B$5*AQ31)</f>
        <v>80.042857142857144</v>
      </c>
      <c r="AS31" s="35">
        <v>89</v>
      </c>
      <c r="AT31" s="35">
        <v>80</v>
      </c>
      <c r="AU31" s="35">
        <v>87</v>
      </c>
      <c r="AV31" s="35">
        <v>86</v>
      </c>
      <c r="AW31" s="35">
        <v>86</v>
      </c>
      <c r="AX31" s="35">
        <v>85</v>
      </c>
      <c r="AY31" s="35">
        <v>86</v>
      </c>
      <c r="AZ31" s="35">
        <v>86</v>
      </c>
      <c r="BA31" s="33">
        <v>91</v>
      </c>
      <c r="BB31" s="33">
        <v>91</v>
      </c>
      <c r="BC31" s="33">
        <v>91</v>
      </c>
      <c r="BD31" s="33"/>
      <c r="BE31" s="33"/>
      <c r="BF31" s="33"/>
      <c r="BG31" s="33">
        <v>84</v>
      </c>
      <c r="BH31" s="33">
        <v>84</v>
      </c>
    </row>
    <row r="32" spans="1:60" ht="13.8" x14ac:dyDescent="0.3">
      <c r="A32" s="29">
        <v>60200125109</v>
      </c>
      <c r="B32" s="39" t="s">
        <v>98</v>
      </c>
      <c r="C32" s="17">
        <v>1</v>
      </c>
      <c r="D32" s="17">
        <v>1</v>
      </c>
      <c r="E32" s="17">
        <v>1</v>
      </c>
      <c r="F32" s="17">
        <f t="shared" ref="F32:J32" si="56">IF(AA32&gt;0,1,0)</f>
        <v>1</v>
      </c>
      <c r="G32" s="17">
        <f t="shared" si="56"/>
        <v>1</v>
      </c>
      <c r="H32" s="17">
        <f t="shared" si="56"/>
        <v>1</v>
      </c>
      <c r="I32" s="17">
        <f t="shared" si="56"/>
        <v>1</v>
      </c>
      <c r="J32" s="17">
        <f t="shared" si="56"/>
        <v>1</v>
      </c>
      <c r="K32" s="17"/>
      <c r="L32" s="17"/>
      <c r="M32" s="21">
        <f t="shared" si="1"/>
        <v>80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100</v>
      </c>
      <c r="X32" s="26">
        <f t="shared" si="2"/>
        <v>10</v>
      </c>
      <c r="Y32" s="27">
        <v>0</v>
      </c>
      <c r="Z32" s="27">
        <v>100</v>
      </c>
      <c r="AA32" s="27">
        <v>80</v>
      </c>
      <c r="AB32" s="27">
        <v>100</v>
      </c>
      <c r="AC32" s="27">
        <v>80</v>
      </c>
      <c r="AD32" s="27">
        <v>100</v>
      </c>
      <c r="AE32" s="27">
        <v>100</v>
      </c>
      <c r="AF32" s="27">
        <v>87</v>
      </c>
      <c r="AG32" s="28">
        <f t="shared" si="3"/>
        <v>92.428571428571431</v>
      </c>
      <c r="AH32" s="22">
        <f t="shared" si="7"/>
        <v>88.5</v>
      </c>
      <c r="AI32" s="22">
        <f t="shared" ref="AI32:AO32" si="57">(AT32+BB32)/2</f>
        <v>88</v>
      </c>
      <c r="AJ32" s="22">
        <f t="shared" si="57"/>
        <v>87.5</v>
      </c>
      <c r="AK32" s="22">
        <f t="shared" si="57"/>
        <v>43</v>
      </c>
      <c r="AL32" s="22">
        <f t="shared" si="57"/>
        <v>40</v>
      </c>
      <c r="AM32" s="22">
        <f t="shared" si="57"/>
        <v>42.5</v>
      </c>
      <c r="AN32" s="22">
        <f t="shared" si="57"/>
        <v>42.5</v>
      </c>
      <c r="AO32" s="22">
        <f t="shared" si="57"/>
        <v>42</v>
      </c>
      <c r="AP32" s="30">
        <f t="shared" si="5"/>
        <v>67.714285714285708</v>
      </c>
      <c r="AQ32" s="31">
        <v>86</v>
      </c>
      <c r="AR32" s="32">
        <v>80</v>
      </c>
      <c r="AS32" s="35">
        <v>86</v>
      </c>
      <c r="AT32" s="35">
        <v>85</v>
      </c>
      <c r="AU32" s="35">
        <v>84</v>
      </c>
      <c r="AV32" s="35">
        <v>86</v>
      </c>
      <c r="AW32" s="35">
        <v>80</v>
      </c>
      <c r="AX32" s="35">
        <v>85</v>
      </c>
      <c r="AY32" s="35">
        <v>85</v>
      </c>
      <c r="AZ32" s="35">
        <v>84</v>
      </c>
      <c r="BA32" s="33">
        <v>91</v>
      </c>
      <c r="BB32" s="33">
        <v>91</v>
      </c>
      <c r="BC32" s="33">
        <v>91</v>
      </c>
      <c r="BD32" s="33"/>
      <c r="BE32" s="33"/>
      <c r="BF32" s="33"/>
      <c r="BG32" s="33"/>
      <c r="BH32" s="33"/>
    </row>
    <row r="33" spans="1:60" ht="13.8" x14ac:dyDescent="0.3">
      <c r="A33" s="14">
        <v>60200125110</v>
      </c>
      <c r="B33" s="39" t="s">
        <v>99</v>
      </c>
      <c r="C33" s="17">
        <v>1</v>
      </c>
      <c r="D33" s="17">
        <v>1</v>
      </c>
      <c r="E33" s="17">
        <v>1</v>
      </c>
      <c r="F33" s="17">
        <f t="shared" ref="F33:J33" si="58">IF(AA33&gt;0,1,0)</f>
        <v>1</v>
      </c>
      <c r="G33" s="17">
        <f t="shared" si="58"/>
        <v>1</v>
      </c>
      <c r="H33" s="17">
        <f t="shared" si="58"/>
        <v>1</v>
      </c>
      <c r="I33" s="17">
        <f t="shared" si="58"/>
        <v>1</v>
      </c>
      <c r="J33" s="17">
        <f t="shared" si="58"/>
        <v>1</v>
      </c>
      <c r="K33" s="17"/>
      <c r="L33" s="17"/>
      <c r="M33" s="21">
        <f t="shared" si="1"/>
        <v>80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100</v>
      </c>
      <c r="X33" s="26">
        <f t="shared" si="2"/>
        <v>10</v>
      </c>
      <c r="Y33" s="27">
        <v>100</v>
      </c>
      <c r="Z33" s="27">
        <v>85</v>
      </c>
      <c r="AA33" s="27">
        <v>100</v>
      </c>
      <c r="AB33" s="27">
        <v>82</v>
      </c>
      <c r="AC33" s="27">
        <v>100</v>
      </c>
      <c r="AD33" s="27">
        <v>100</v>
      </c>
      <c r="AE33" s="27">
        <v>87</v>
      </c>
      <c r="AF33" s="27">
        <v>0</v>
      </c>
      <c r="AG33" s="28">
        <f t="shared" si="3"/>
        <v>93.428571428571431</v>
      </c>
      <c r="AH33" s="22">
        <f t="shared" si="7"/>
        <v>90</v>
      </c>
      <c r="AI33" s="22">
        <v>80</v>
      </c>
      <c r="AJ33" s="22">
        <f t="shared" ref="AJ33:AO33" si="59">(AU33+BC33)/2</f>
        <v>87.5</v>
      </c>
      <c r="AK33" s="22">
        <f t="shared" si="59"/>
        <v>41.5</v>
      </c>
      <c r="AL33" s="22">
        <f t="shared" si="59"/>
        <v>43</v>
      </c>
      <c r="AM33" s="22">
        <f t="shared" si="59"/>
        <v>42.5</v>
      </c>
      <c r="AN33" s="22">
        <f t="shared" si="59"/>
        <v>85</v>
      </c>
      <c r="AO33" s="22">
        <f t="shared" si="59"/>
        <v>85</v>
      </c>
      <c r="AP33" s="30">
        <f t="shared" si="5"/>
        <v>79.214285714285708</v>
      </c>
      <c r="AQ33" s="31">
        <v>86</v>
      </c>
      <c r="AR33" s="32">
        <v>80</v>
      </c>
      <c r="AS33" s="35">
        <v>89</v>
      </c>
      <c r="AT33" s="35"/>
      <c r="AU33" s="35">
        <v>84</v>
      </c>
      <c r="AV33" s="35">
        <v>83</v>
      </c>
      <c r="AW33" s="35">
        <v>86</v>
      </c>
      <c r="AX33" s="35">
        <v>85</v>
      </c>
      <c r="AY33" s="35">
        <v>86</v>
      </c>
      <c r="AZ33" s="35">
        <v>86</v>
      </c>
      <c r="BA33" s="33">
        <v>91</v>
      </c>
      <c r="BB33" s="33">
        <v>91</v>
      </c>
      <c r="BC33" s="33">
        <v>91</v>
      </c>
      <c r="BD33" s="33"/>
      <c r="BE33" s="33"/>
      <c r="BF33" s="33"/>
      <c r="BG33" s="33">
        <v>84</v>
      </c>
      <c r="BH33" s="33">
        <v>84</v>
      </c>
    </row>
    <row r="34" spans="1:60" ht="13.8" x14ac:dyDescent="0.3">
      <c r="A34" s="29">
        <v>60200125138</v>
      </c>
      <c r="B34" s="39" t="s">
        <v>101</v>
      </c>
      <c r="C34" s="17">
        <v>1</v>
      </c>
      <c r="D34" s="17">
        <v>1</v>
      </c>
      <c r="E34" s="17">
        <v>1</v>
      </c>
      <c r="F34" s="17">
        <f t="shared" ref="F34:J34" si="60">IF(AA34&gt;0,1,0)</f>
        <v>1</v>
      </c>
      <c r="G34" s="17">
        <f t="shared" si="60"/>
        <v>1</v>
      </c>
      <c r="H34" s="17">
        <f t="shared" si="60"/>
        <v>1</v>
      </c>
      <c r="I34" s="17">
        <f t="shared" si="60"/>
        <v>1</v>
      </c>
      <c r="J34" s="17">
        <f t="shared" si="60"/>
        <v>1</v>
      </c>
      <c r="K34" s="17"/>
      <c r="L34" s="17"/>
      <c r="M34" s="21">
        <f t="shared" si="1"/>
        <v>80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6">
        <f t="shared" si="2"/>
        <v>0</v>
      </c>
      <c r="Y34" s="27">
        <v>100</v>
      </c>
      <c r="Z34" s="27">
        <v>84</v>
      </c>
      <c r="AA34" s="27">
        <v>85</v>
      </c>
      <c r="AB34" s="27">
        <v>86</v>
      </c>
      <c r="AC34" s="27">
        <v>82</v>
      </c>
      <c r="AD34" s="27">
        <v>100</v>
      </c>
      <c r="AE34" s="27">
        <v>100</v>
      </c>
      <c r="AF34" s="27">
        <v>87</v>
      </c>
      <c r="AG34" s="28">
        <f t="shared" si="3"/>
        <v>103.42857142857143</v>
      </c>
      <c r="AH34" s="22">
        <f t="shared" si="7"/>
        <v>0</v>
      </c>
      <c r="AI34" s="22">
        <f t="shared" ref="AI34:AO34" si="61">(AT34+BB34)/2</f>
        <v>0</v>
      </c>
      <c r="AJ34" s="22">
        <f t="shared" si="61"/>
        <v>0</v>
      </c>
      <c r="AK34" s="22">
        <f t="shared" si="61"/>
        <v>0</v>
      </c>
      <c r="AL34" s="22">
        <f t="shared" si="61"/>
        <v>0</v>
      </c>
      <c r="AM34" s="22">
        <f t="shared" si="61"/>
        <v>42.5</v>
      </c>
      <c r="AN34" s="22">
        <f t="shared" si="61"/>
        <v>42.5</v>
      </c>
      <c r="AO34" s="22">
        <f t="shared" si="61"/>
        <v>0</v>
      </c>
      <c r="AP34" s="30">
        <f t="shared" si="5"/>
        <v>12.142857142857142</v>
      </c>
      <c r="AQ34" s="31">
        <v>86</v>
      </c>
      <c r="AR34" s="32">
        <v>80</v>
      </c>
      <c r="AS34" s="35"/>
      <c r="AT34" s="35"/>
      <c r="AU34" s="35"/>
      <c r="AV34" s="35"/>
      <c r="AW34" s="35"/>
      <c r="AX34" s="35">
        <v>85</v>
      </c>
      <c r="AY34" s="35">
        <v>85</v>
      </c>
      <c r="AZ34" s="35"/>
      <c r="BA34" s="33"/>
      <c r="BB34" s="33"/>
      <c r="BC34" s="33"/>
      <c r="BD34" s="33"/>
      <c r="BE34" s="33"/>
      <c r="BF34" s="33"/>
      <c r="BG34" s="33"/>
      <c r="BH34" s="33"/>
    </row>
    <row r="35" spans="1:60" ht="13.8" x14ac:dyDescent="0.3">
      <c r="A35" s="29">
        <v>60200125139</v>
      </c>
      <c r="B35" s="39" t="s">
        <v>103</v>
      </c>
      <c r="C35" s="17">
        <v>1</v>
      </c>
      <c r="D35" s="17">
        <v>1</v>
      </c>
      <c r="E35" s="17">
        <v>1</v>
      </c>
      <c r="F35" s="17">
        <f t="shared" ref="F35:J35" si="62">IF(AA35&gt;0,1,0)</f>
        <v>1</v>
      </c>
      <c r="G35" s="17">
        <f t="shared" si="62"/>
        <v>1</v>
      </c>
      <c r="H35" s="17">
        <f t="shared" si="62"/>
        <v>1</v>
      </c>
      <c r="I35" s="17">
        <f t="shared" si="62"/>
        <v>1</v>
      </c>
      <c r="J35" s="17">
        <f t="shared" si="62"/>
        <v>0</v>
      </c>
      <c r="K35" s="17"/>
      <c r="L35" s="17"/>
      <c r="M35" s="21">
        <f t="shared" si="1"/>
        <v>70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100</v>
      </c>
      <c r="X35" s="26">
        <f t="shared" si="2"/>
        <v>10</v>
      </c>
      <c r="Y35" s="27">
        <v>83</v>
      </c>
      <c r="Z35" s="27">
        <v>100</v>
      </c>
      <c r="AA35" s="27">
        <v>80</v>
      </c>
      <c r="AB35" s="27">
        <v>100</v>
      </c>
      <c r="AC35" s="27">
        <v>85</v>
      </c>
      <c r="AD35" s="27">
        <v>100</v>
      </c>
      <c r="AE35" s="27">
        <v>0</v>
      </c>
      <c r="AF35" s="27">
        <v>86</v>
      </c>
      <c r="AG35" s="28">
        <f t="shared" si="3"/>
        <v>90.571428571428569</v>
      </c>
      <c r="AH35" s="22">
        <f t="shared" si="7"/>
        <v>90</v>
      </c>
      <c r="AI35" s="22">
        <v>80</v>
      </c>
      <c r="AJ35" s="22">
        <f t="shared" ref="AJ35:AO35" si="63">(AU35+BC35)/2</f>
        <v>42</v>
      </c>
      <c r="AK35" s="22">
        <f t="shared" si="63"/>
        <v>41</v>
      </c>
      <c r="AL35" s="22">
        <f t="shared" si="63"/>
        <v>40</v>
      </c>
      <c r="AM35" s="22">
        <f t="shared" si="63"/>
        <v>42.5</v>
      </c>
      <c r="AN35" s="22">
        <f t="shared" si="63"/>
        <v>84.5</v>
      </c>
      <c r="AO35" s="22">
        <f t="shared" si="63"/>
        <v>84</v>
      </c>
      <c r="AP35" s="30">
        <f t="shared" si="5"/>
        <v>72</v>
      </c>
      <c r="AQ35" s="31">
        <v>86</v>
      </c>
      <c r="AR35" s="32">
        <v>80</v>
      </c>
      <c r="AS35" s="35">
        <v>89</v>
      </c>
      <c r="AT35" s="35"/>
      <c r="AU35" s="35">
        <v>84</v>
      </c>
      <c r="AV35" s="35">
        <v>82</v>
      </c>
      <c r="AW35" s="35">
        <v>80</v>
      </c>
      <c r="AX35" s="35">
        <v>85</v>
      </c>
      <c r="AY35" s="35">
        <v>85</v>
      </c>
      <c r="AZ35" s="35">
        <v>84</v>
      </c>
      <c r="BA35" s="33">
        <v>91</v>
      </c>
      <c r="BB35" s="33">
        <v>91</v>
      </c>
      <c r="BC35" s="33"/>
      <c r="BD35" s="33"/>
      <c r="BE35" s="33"/>
      <c r="BF35" s="33"/>
      <c r="BG35" s="33">
        <v>84</v>
      </c>
      <c r="BH35" s="33">
        <v>84</v>
      </c>
    </row>
    <row r="36" spans="1:60" ht="13.8" x14ac:dyDescent="0.3">
      <c r="A36" s="29">
        <v>60200125140</v>
      </c>
      <c r="B36" s="39" t="s">
        <v>105</v>
      </c>
      <c r="C36" s="17">
        <v>1</v>
      </c>
      <c r="D36" s="17">
        <v>1</v>
      </c>
      <c r="E36" s="17">
        <v>1</v>
      </c>
      <c r="F36" s="17">
        <f t="shared" ref="F36:J36" si="64">IF(AA36&gt;0,1,0)</f>
        <v>1</v>
      </c>
      <c r="G36" s="17">
        <f t="shared" si="64"/>
        <v>1</v>
      </c>
      <c r="H36" s="17">
        <f t="shared" si="64"/>
        <v>1</v>
      </c>
      <c r="I36" s="17">
        <f t="shared" si="64"/>
        <v>1</v>
      </c>
      <c r="J36" s="17">
        <f t="shared" si="64"/>
        <v>1</v>
      </c>
      <c r="K36" s="17"/>
      <c r="L36" s="17"/>
      <c r="M36" s="21">
        <f t="shared" si="1"/>
        <v>80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100</v>
      </c>
      <c r="X36" s="26">
        <f t="shared" si="2"/>
        <v>10</v>
      </c>
      <c r="Y36" s="27">
        <v>100</v>
      </c>
      <c r="Z36" s="27">
        <v>85</v>
      </c>
      <c r="AA36" s="27">
        <v>100</v>
      </c>
      <c r="AB36" s="27">
        <v>80</v>
      </c>
      <c r="AC36" s="27">
        <v>100</v>
      </c>
      <c r="AD36" s="27">
        <v>100</v>
      </c>
      <c r="AE36" s="27">
        <v>87</v>
      </c>
      <c r="AF36" s="27">
        <v>100</v>
      </c>
      <c r="AG36" s="28">
        <f t="shared" si="3"/>
        <v>107.42857142857143</v>
      </c>
      <c r="AH36" s="22">
        <f t="shared" si="7"/>
        <v>88</v>
      </c>
      <c r="AI36" s="22">
        <f t="shared" ref="AI36:AO36" si="65">(AT36+BB36)/2</f>
        <v>85.5</v>
      </c>
      <c r="AJ36" s="22">
        <f t="shared" si="65"/>
        <v>88</v>
      </c>
      <c r="AK36" s="22">
        <f t="shared" si="65"/>
        <v>42</v>
      </c>
      <c r="AL36" s="22">
        <f t="shared" si="65"/>
        <v>42</v>
      </c>
      <c r="AM36" s="22">
        <f t="shared" si="65"/>
        <v>42.5</v>
      </c>
      <c r="AN36" s="22">
        <f t="shared" si="65"/>
        <v>42</v>
      </c>
      <c r="AO36" s="22">
        <f t="shared" si="65"/>
        <v>42</v>
      </c>
      <c r="AP36" s="30">
        <f t="shared" si="5"/>
        <v>67.428571428571431</v>
      </c>
      <c r="AQ36" s="31">
        <v>86</v>
      </c>
      <c r="AR36" s="32">
        <v>80</v>
      </c>
      <c r="AS36" s="35">
        <v>85</v>
      </c>
      <c r="AT36" s="35">
        <v>80</v>
      </c>
      <c r="AU36" s="35">
        <v>85</v>
      </c>
      <c r="AV36" s="35">
        <v>84</v>
      </c>
      <c r="AW36" s="35">
        <v>84</v>
      </c>
      <c r="AX36" s="35">
        <v>85</v>
      </c>
      <c r="AY36" s="35">
        <v>84</v>
      </c>
      <c r="AZ36" s="35">
        <v>84</v>
      </c>
      <c r="BA36" s="33">
        <v>91</v>
      </c>
      <c r="BB36" s="33">
        <v>91</v>
      </c>
      <c r="BC36" s="33">
        <v>91</v>
      </c>
      <c r="BD36" s="33"/>
      <c r="BE36" s="33"/>
      <c r="BF36" s="33"/>
      <c r="BG36" s="33"/>
      <c r="BH36" s="33"/>
    </row>
    <row r="37" spans="1:60" ht="13.8" x14ac:dyDescent="0.3">
      <c r="A37" s="29">
        <v>60200125141</v>
      </c>
      <c r="B37" s="39" t="s">
        <v>106</v>
      </c>
      <c r="C37" s="17">
        <v>1</v>
      </c>
      <c r="D37" s="17">
        <v>1</v>
      </c>
      <c r="E37" s="17">
        <v>1</v>
      </c>
      <c r="F37" s="17">
        <f t="shared" ref="F37:J37" si="66">IF(AA37&gt;0,1,0)</f>
        <v>1</v>
      </c>
      <c r="G37" s="17">
        <f t="shared" si="66"/>
        <v>1</v>
      </c>
      <c r="H37" s="17">
        <f t="shared" si="66"/>
        <v>1</v>
      </c>
      <c r="I37" s="17">
        <f t="shared" si="66"/>
        <v>1</v>
      </c>
      <c r="J37" s="17">
        <f t="shared" si="66"/>
        <v>1</v>
      </c>
      <c r="K37" s="17"/>
      <c r="L37" s="17"/>
      <c r="M37" s="21">
        <f t="shared" si="1"/>
        <v>80</v>
      </c>
      <c r="N37" s="22">
        <v>0</v>
      </c>
      <c r="O37" s="22">
        <v>0</v>
      </c>
      <c r="P37" s="22">
        <v>30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100</v>
      </c>
      <c r="X37" s="26">
        <f t="shared" si="2"/>
        <v>13</v>
      </c>
      <c r="Y37" s="27">
        <v>83</v>
      </c>
      <c r="Z37" s="27">
        <v>100</v>
      </c>
      <c r="AA37" s="27">
        <v>84</v>
      </c>
      <c r="AB37" s="27">
        <v>100</v>
      </c>
      <c r="AC37" s="27">
        <v>85</v>
      </c>
      <c r="AD37" s="27">
        <v>100</v>
      </c>
      <c r="AE37" s="27">
        <v>87</v>
      </c>
      <c r="AF37" s="27">
        <v>100</v>
      </c>
      <c r="AG37" s="28">
        <f t="shared" si="3"/>
        <v>105.57142857142857</v>
      </c>
      <c r="AH37" s="22">
        <f t="shared" si="7"/>
        <v>90</v>
      </c>
      <c r="AI37" s="22">
        <f t="shared" ref="AI37:AO37" si="67">(AT37+BB37)/2</f>
        <v>45.5</v>
      </c>
      <c r="AJ37" s="22">
        <f t="shared" si="67"/>
        <v>88</v>
      </c>
      <c r="AK37" s="22">
        <f t="shared" si="67"/>
        <v>42</v>
      </c>
      <c r="AL37" s="22">
        <f t="shared" si="67"/>
        <v>42</v>
      </c>
      <c r="AM37" s="22">
        <f t="shared" si="67"/>
        <v>42.5</v>
      </c>
      <c r="AN37" s="22">
        <f t="shared" si="67"/>
        <v>84</v>
      </c>
      <c r="AO37" s="22">
        <f t="shared" si="67"/>
        <v>85</v>
      </c>
      <c r="AP37" s="30">
        <f t="shared" si="5"/>
        <v>74.142857142857139</v>
      </c>
      <c r="AQ37" s="31">
        <v>86</v>
      </c>
      <c r="AR37" s="32">
        <v>80</v>
      </c>
      <c r="AS37" s="35">
        <v>89</v>
      </c>
      <c r="AT37" s="35"/>
      <c r="AU37" s="35">
        <v>85</v>
      </c>
      <c r="AV37" s="35">
        <v>84</v>
      </c>
      <c r="AW37" s="35">
        <v>84</v>
      </c>
      <c r="AX37" s="35">
        <v>85</v>
      </c>
      <c r="AY37" s="35">
        <v>84</v>
      </c>
      <c r="AZ37" s="35">
        <v>86</v>
      </c>
      <c r="BA37" s="33">
        <v>91</v>
      </c>
      <c r="BB37" s="33">
        <v>91</v>
      </c>
      <c r="BC37" s="33">
        <v>91</v>
      </c>
      <c r="BD37" s="33"/>
      <c r="BE37" s="33"/>
      <c r="BF37" s="33"/>
      <c r="BG37" s="33">
        <v>84</v>
      </c>
      <c r="BH37" s="33">
        <v>84</v>
      </c>
    </row>
    <row r="38" spans="1:60" ht="13.8" x14ac:dyDescent="0.3">
      <c r="A38" s="14">
        <v>60200125142</v>
      </c>
      <c r="B38" s="16" t="s">
        <v>108</v>
      </c>
      <c r="C38" s="17">
        <v>1</v>
      </c>
      <c r="D38" s="17">
        <v>1</v>
      </c>
      <c r="E38" s="17">
        <v>1</v>
      </c>
      <c r="F38" s="17">
        <f t="shared" ref="F38:J38" si="68">IF(AA38&gt;0,1,0)</f>
        <v>0</v>
      </c>
      <c r="G38" s="17">
        <f t="shared" si="68"/>
        <v>0</v>
      </c>
      <c r="H38" s="17">
        <f t="shared" si="68"/>
        <v>0</v>
      </c>
      <c r="I38" s="17">
        <f t="shared" si="68"/>
        <v>1</v>
      </c>
      <c r="J38" s="17">
        <f t="shared" si="68"/>
        <v>0</v>
      </c>
      <c r="K38" s="17"/>
      <c r="L38" s="17"/>
      <c r="M38" s="21">
        <f t="shared" si="1"/>
        <v>40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100</v>
      </c>
      <c r="X38" s="26">
        <f t="shared" si="2"/>
        <v>10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100</v>
      </c>
      <c r="AE38" s="27">
        <v>0</v>
      </c>
      <c r="AF38" s="27">
        <v>0</v>
      </c>
      <c r="AG38" s="28">
        <f t="shared" si="3"/>
        <v>14.285714285714286</v>
      </c>
      <c r="AH38" s="22">
        <f t="shared" si="7"/>
        <v>0</v>
      </c>
      <c r="AI38" s="22">
        <f t="shared" ref="AI38:AO38" si="69">(AT38+BB38)/2</f>
        <v>0</v>
      </c>
      <c r="AJ38" s="22">
        <f t="shared" si="69"/>
        <v>0</v>
      </c>
      <c r="AK38" s="22">
        <f t="shared" si="69"/>
        <v>0</v>
      </c>
      <c r="AL38" s="22">
        <f t="shared" si="69"/>
        <v>0</v>
      </c>
      <c r="AM38" s="22">
        <f t="shared" si="69"/>
        <v>0</v>
      </c>
      <c r="AN38" s="22">
        <f t="shared" si="69"/>
        <v>0</v>
      </c>
      <c r="AO38" s="22">
        <f t="shared" si="69"/>
        <v>0</v>
      </c>
      <c r="AP38" s="30">
        <f t="shared" si="5"/>
        <v>0</v>
      </c>
      <c r="AQ38" s="31">
        <v>86</v>
      </c>
      <c r="AR38" s="32">
        <f>(Kontrak!$B$6*M38)+(Kontrak!$B$4*X38)+(Kontrak!$B$2*AG38)+(Kontrak!$B$3*AP38)+(Kontrak!$B$5*AQ38)</f>
        <v>33.657142857142858</v>
      </c>
      <c r="AS38" s="35"/>
      <c r="AT38" s="35"/>
      <c r="AU38" s="35"/>
      <c r="AV38" s="35"/>
      <c r="AW38" s="35"/>
      <c r="AX38" s="35"/>
      <c r="AY38" s="35"/>
      <c r="AZ38" s="35"/>
      <c r="BA38" s="33"/>
      <c r="BB38" s="33"/>
      <c r="BC38" s="33"/>
      <c r="BD38" s="33"/>
      <c r="BE38" s="33"/>
      <c r="BF38" s="33"/>
      <c r="BG38" s="33"/>
      <c r="BH38" s="33"/>
    </row>
    <row r="39" spans="1:60" ht="13.8" x14ac:dyDescent="0.3">
      <c r="A39" s="14">
        <v>60200125143</v>
      </c>
      <c r="B39" s="16" t="s">
        <v>110</v>
      </c>
      <c r="C39" s="17">
        <v>1</v>
      </c>
      <c r="D39" s="17">
        <v>1</v>
      </c>
      <c r="E39" s="17">
        <v>1</v>
      </c>
      <c r="F39" s="17">
        <f t="shared" ref="F39:J39" si="70">IF(AA39&gt;0,1,0)</f>
        <v>1</v>
      </c>
      <c r="G39" s="17">
        <f t="shared" si="70"/>
        <v>1</v>
      </c>
      <c r="H39" s="17">
        <f t="shared" si="70"/>
        <v>1</v>
      </c>
      <c r="I39" s="17">
        <f t="shared" si="70"/>
        <v>1</v>
      </c>
      <c r="J39" s="17">
        <f t="shared" si="70"/>
        <v>1</v>
      </c>
      <c r="K39" s="17"/>
      <c r="L39" s="17"/>
      <c r="M39" s="21">
        <f t="shared" si="1"/>
        <v>80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100</v>
      </c>
      <c r="X39" s="26">
        <f t="shared" si="2"/>
        <v>10</v>
      </c>
      <c r="Y39" s="27">
        <v>80</v>
      </c>
      <c r="Z39" s="27">
        <v>100</v>
      </c>
      <c r="AA39" s="27">
        <v>80</v>
      </c>
      <c r="AB39" s="27">
        <v>100</v>
      </c>
      <c r="AC39" s="27">
        <v>84</v>
      </c>
      <c r="AD39" s="27">
        <v>100</v>
      </c>
      <c r="AE39" s="27">
        <v>100</v>
      </c>
      <c r="AF39" s="27">
        <v>0</v>
      </c>
      <c r="AG39" s="28">
        <f t="shared" si="3"/>
        <v>92</v>
      </c>
      <c r="AH39" s="22">
        <f t="shared" si="7"/>
        <v>45.5</v>
      </c>
      <c r="AI39" s="22">
        <f t="shared" ref="AI39:AO39" si="71">(AT39+BB39)/2</f>
        <v>86.5</v>
      </c>
      <c r="AJ39" s="22">
        <f t="shared" si="71"/>
        <v>87</v>
      </c>
      <c r="AK39" s="22">
        <f t="shared" si="71"/>
        <v>41.5</v>
      </c>
      <c r="AL39" s="22">
        <f t="shared" si="71"/>
        <v>0</v>
      </c>
      <c r="AM39" s="22">
        <f t="shared" si="71"/>
        <v>42.5</v>
      </c>
      <c r="AN39" s="22">
        <f t="shared" si="71"/>
        <v>43.5</v>
      </c>
      <c r="AO39" s="22">
        <f t="shared" si="71"/>
        <v>0</v>
      </c>
      <c r="AP39" s="30">
        <f t="shared" si="5"/>
        <v>49.5</v>
      </c>
      <c r="AQ39" s="31">
        <v>86</v>
      </c>
      <c r="AR39" s="32">
        <v>80</v>
      </c>
      <c r="AS39" s="35"/>
      <c r="AT39" s="35">
        <v>82</v>
      </c>
      <c r="AU39" s="35">
        <v>83</v>
      </c>
      <c r="AV39" s="35">
        <v>83</v>
      </c>
      <c r="AW39" s="35"/>
      <c r="AX39" s="35">
        <v>85</v>
      </c>
      <c r="AY39" s="35">
        <v>87</v>
      </c>
      <c r="AZ39" s="35"/>
      <c r="BA39" s="33">
        <v>91</v>
      </c>
      <c r="BB39" s="33">
        <v>91</v>
      </c>
      <c r="BC39" s="33">
        <v>91</v>
      </c>
      <c r="BD39" s="33"/>
      <c r="BE39" s="33"/>
      <c r="BF39" s="33"/>
      <c r="BG39" s="33"/>
      <c r="BH39" s="33"/>
    </row>
    <row r="40" spans="1:60" ht="13.8" x14ac:dyDescent="0.3">
      <c r="A40" s="14">
        <v>60200125144</v>
      </c>
      <c r="B40" s="16" t="s">
        <v>112</v>
      </c>
      <c r="C40" s="17">
        <v>1</v>
      </c>
      <c r="D40" s="17">
        <v>1</v>
      </c>
      <c r="E40" s="17">
        <v>1</v>
      </c>
      <c r="F40" s="17">
        <f t="shared" ref="F40:J40" si="72">IF(AA40&gt;0,1,0)</f>
        <v>1</v>
      </c>
      <c r="G40" s="17">
        <f t="shared" si="72"/>
        <v>1</v>
      </c>
      <c r="H40" s="17">
        <f t="shared" si="72"/>
        <v>1</v>
      </c>
      <c r="I40" s="17">
        <f t="shared" si="72"/>
        <v>1</v>
      </c>
      <c r="J40" s="17">
        <f t="shared" si="72"/>
        <v>1</v>
      </c>
      <c r="K40" s="17"/>
      <c r="L40" s="17"/>
      <c r="M40" s="21">
        <f t="shared" si="1"/>
        <v>80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100</v>
      </c>
      <c r="X40" s="26">
        <f t="shared" si="2"/>
        <v>10</v>
      </c>
      <c r="Y40" s="27">
        <v>100</v>
      </c>
      <c r="Z40" s="27">
        <v>85</v>
      </c>
      <c r="AA40" s="27">
        <v>100</v>
      </c>
      <c r="AB40" s="27">
        <v>84</v>
      </c>
      <c r="AC40" s="27">
        <v>100</v>
      </c>
      <c r="AD40" s="27">
        <v>100</v>
      </c>
      <c r="AE40" s="27">
        <v>86</v>
      </c>
      <c r="AF40" s="27">
        <v>100</v>
      </c>
      <c r="AG40" s="28">
        <f t="shared" si="3"/>
        <v>107.85714285714286</v>
      </c>
      <c r="AH40" s="22">
        <f t="shared" si="7"/>
        <v>90</v>
      </c>
      <c r="AI40" s="22">
        <f t="shared" ref="AI40:AO40" si="73">(AT40+BB40)/2</f>
        <v>45.5</v>
      </c>
      <c r="AJ40" s="22">
        <f t="shared" si="73"/>
        <v>87</v>
      </c>
      <c r="AK40" s="22">
        <f t="shared" si="73"/>
        <v>42.5</v>
      </c>
      <c r="AL40" s="22">
        <f t="shared" si="73"/>
        <v>43.5</v>
      </c>
      <c r="AM40" s="22">
        <f t="shared" si="73"/>
        <v>42.5</v>
      </c>
      <c r="AN40" s="22">
        <f t="shared" si="73"/>
        <v>42</v>
      </c>
      <c r="AO40" s="22">
        <f t="shared" si="73"/>
        <v>42</v>
      </c>
      <c r="AP40" s="30">
        <f t="shared" si="5"/>
        <v>62.142857142857146</v>
      </c>
      <c r="AQ40" s="31">
        <v>86</v>
      </c>
      <c r="AR40" s="32">
        <v>80</v>
      </c>
      <c r="AS40" s="35">
        <v>89</v>
      </c>
      <c r="AT40" s="35"/>
      <c r="AU40" s="35">
        <v>83</v>
      </c>
      <c r="AV40" s="35">
        <v>85</v>
      </c>
      <c r="AW40" s="35">
        <v>87</v>
      </c>
      <c r="AX40" s="35">
        <v>85</v>
      </c>
      <c r="AY40" s="35">
        <v>84</v>
      </c>
      <c r="AZ40" s="35">
        <v>84</v>
      </c>
      <c r="BA40" s="33">
        <v>91</v>
      </c>
      <c r="BB40" s="33">
        <v>91</v>
      </c>
      <c r="BC40" s="33">
        <v>91</v>
      </c>
      <c r="BD40" s="33"/>
      <c r="BE40" s="33"/>
      <c r="BF40" s="33"/>
      <c r="BG40" s="33"/>
      <c r="BH40" s="33"/>
    </row>
  </sheetData>
  <mergeCells count="15">
    <mergeCell ref="AR5:AR6"/>
    <mergeCell ref="AS5:AZ5"/>
    <mergeCell ref="BA5:BH5"/>
    <mergeCell ref="A1:B4"/>
    <mergeCell ref="A5:A6"/>
    <mergeCell ref="B5:B6"/>
    <mergeCell ref="C5:L5"/>
    <mergeCell ref="M5:M6"/>
    <mergeCell ref="N5:W5"/>
    <mergeCell ref="X5:X6"/>
    <mergeCell ref="Y5:AF5"/>
    <mergeCell ref="AG5:AG6"/>
    <mergeCell ref="AH5:AO5"/>
    <mergeCell ref="AP5:AP6"/>
    <mergeCell ref="AQ5:AQ6"/>
  </mergeCells>
  <conditionalFormatting sqref="C7:L40 N7:W40 AH7:AO40 Y26:AF26">
    <cfRule type="containsBlanks" dxfId="1" priority="1">
      <formula>LEN(TRIM(C7))=0</formula>
    </cfRule>
  </conditionalFormatting>
  <printOptions horizontalCentered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BH40"/>
  <sheetViews>
    <sheetView workbookViewId="0">
      <pane xSplit="2" topLeftCell="C1" activePane="topRight" state="frozen"/>
      <selection pane="topRight" activeCell="I18" sqref="I18"/>
    </sheetView>
  </sheetViews>
  <sheetFormatPr defaultColWidth="12.6640625" defaultRowHeight="15.75" customHeight="1" x14ac:dyDescent="0.25"/>
  <cols>
    <col min="1" max="1" width="12" bestFit="1" customWidth="1"/>
    <col min="2" max="2" width="32.77734375" bestFit="1" customWidth="1"/>
    <col min="3" max="11" width="2" bestFit="1" customWidth="1"/>
    <col min="12" max="12" width="3" bestFit="1" customWidth="1"/>
    <col min="13" max="13" width="9.88671875" bestFit="1" customWidth="1"/>
    <col min="14" max="14" width="4" bestFit="1" customWidth="1"/>
    <col min="15" max="22" width="2" bestFit="1" customWidth="1"/>
    <col min="23" max="23" width="3" bestFit="1" customWidth="1"/>
    <col min="24" max="24" width="9.44140625" bestFit="1" customWidth="1"/>
    <col min="25" max="32" width="4" bestFit="1" customWidth="1"/>
    <col min="33" max="33" width="6.77734375" bestFit="1" customWidth="1"/>
    <col min="34" max="41" width="5" bestFit="1" customWidth="1"/>
    <col min="42" max="42" width="11.109375" bestFit="1" customWidth="1"/>
    <col min="43" max="43" width="8.109375" bestFit="1" customWidth="1"/>
    <col min="44" max="44" width="8.6640625" bestFit="1" customWidth="1"/>
    <col min="45" max="57" width="3" bestFit="1" customWidth="1"/>
    <col min="58" max="58" width="2" bestFit="1" customWidth="1"/>
    <col min="59" max="60" width="3" bestFit="1" customWidth="1"/>
  </cols>
  <sheetData>
    <row r="1" spans="1:60" ht="15.75" customHeight="1" x14ac:dyDescent="0.3">
      <c r="A1" s="50" t="s">
        <v>0</v>
      </c>
      <c r="B1" s="43"/>
      <c r="C1" s="1"/>
      <c r="D1" s="1"/>
      <c r="E1" s="1"/>
      <c r="F1" s="1"/>
      <c r="G1" s="1"/>
      <c r="H1" s="1"/>
      <c r="I1" s="1"/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5"/>
      <c r="AH1" s="6"/>
      <c r="AI1" s="6"/>
      <c r="AJ1" s="7"/>
      <c r="AK1" s="7"/>
      <c r="AL1" s="7"/>
      <c r="AM1" s="7"/>
      <c r="AN1" s="7"/>
      <c r="AO1" s="7"/>
      <c r="AP1" s="5"/>
      <c r="AQ1" s="5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5.75" customHeight="1" x14ac:dyDescent="0.3">
      <c r="A2" s="43"/>
      <c r="B2" s="43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5"/>
      <c r="AH2" s="8"/>
      <c r="AI2" s="8"/>
      <c r="AJ2" s="1"/>
      <c r="AK2" s="1"/>
      <c r="AL2" s="1"/>
      <c r="AM2" s="1"/>
      <c r="AN2" s="1"/>
      <c r="AO2" s="1"/>
      <c r="AP2" s="5"/>
      <c r="AQ2" s="5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ht="15.75" customHeight="1" x14ac:dyDescent="0.3">
      <c r="A3" s="43"/>
      <c r="B3" s="43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5"/>
      <c r="AH3" s="8"/>
      <c r="AI3" s="8"/>
      <c r="AJ3" s="1"/>
      <c r="AK3" s="1"/>
      <c r="AL3" s="1"/>
      <c r="AM3" s="1"/>
      <c r="AN3" s="1"/>
      <c r="AO3" s="1"/>
      <c r="AP3" s="5"/>
      <c r="AQ3" s="5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spans="1:60" ht="15.75" customHeight="1" x14ac:dyDescent="0.3">
      <c r="A4" s="43"/>
      <c r="B4" s="43"/>
      <c r="C4" s="1"/>
      <c r="D4" s="1"/>
      <c r="E4" s="1"/>
      <c r="F4" s="1"/>
      <c r="G4" s="1"/>
      <c r="H4" s="1"/>
      <c r="I4" s="1"/>
      <c r="J4" s="1"/>
      <c r="K4" s="1"/>
      <c r="L4" s="1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5"/>
      <c r="AH4" s="8"/>
      <c r="AI4" s="8"/>
      <c r="AJ4" s="1"/>
      <c r="AK4" s="1"/>
      <c r="AL4" s="1"/>
      <c r="AM4" s="1"/>
      <c r="AN4" s="1"/>
      <c r="AO4" s="1"/>
      <c r="AP4" s="5"/>
      <c r="AQ4" s="5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ht="15.75" customHeight="1" x14ac:dyDescent="0.3">
      <c r="A5" s="51" t="s">
        <v>9</v>
      </c>
      <c r="B5" s="51" t="s">
        <v>10</v>
      </c>
      <c r="C5" s="53" t="s">
        <v>8</v>
      </c>
      <c r="D5" s="47"/>
      <c r="E5" s="47"/>
      <c r="F5" s="47"/>
      <c r="G5" s="47"/>
      <c r="H5" s="47"/>
      <c r="I5" s="47"/>
      <c r="J5" s="47"/>
      <c r="K5" s="47"/>
      <c r="L5" s="48"/>
      <c r="M5" s="54" t="s">
        <v>11</v>
      </c>
      <c r="N5" s="53" t="s">
        <v>6</v>
      </c>
      <c r="O5" s="47"/>
      <c r="P5" s="47"/>
      <c r="Q5" s="47"/>
      <c r="R5" s="47"/>
      <c r="S5" s="47"/>
      <c r="T5" s="47"/>
      <c r="U5" s="47"/>
      <c r="V5" s="47"/>
      <c r="W5" s="48"/>
      <c r="X5" s="55" t="s">
        <v>12</v>
      </c>
      <c r="Y5" s="53" t="s">
        <v>13</v>
      </c>
      <c r="Z5" s="47"/>
      <c r="AA5" s="47"/>
      <c r="AB5" s="47"/>
      <c r="AC5" s="47"/>
      <c r="AD5" s="47"/>
      <c r="AE5" s="47"/>
      <c r="AF5" s="48"/>
      <c r="AG5" s="56" t="s">
        <v>14</v>
      </c>
      <c r="AH5" s="53" t="s">
        <v>5</v>
      </c>
      <c r="AI5" s="47"/>
      <c r="AJ5" s="47"/>
      <c r="AK5" s="47"/>
      <c r="AL5" s="47"/>
      <c r="AM5" s="47"/>
      <c r="AN5" s="47"/>
      <c r="AO5" s="48"/>
      <c r="AP5" s="57" t="s">
        <v>15</v>
      </c>
      <c r="AQ5" s="58" t="s">
        <v>16</v>
      </c>
      <c r="AR5" s="44" t="s">
        <v>17</v>
      </c>
      <c r="AS5" s="49" t="s">
        <v>18</v>
      </c>
      <c r="AT5" s="47"/>
      <c r="AU5" s="47"/>
      <c r="AV5" s="47"/>
      <c r="AW5" s="47"/>
      <c r="AX5" s="47"/>
      <c r="AY5" s="47"/>
      <c r="AZ5" s="48"/>
      <c r="BA5" s="49" t="s">
        <v>19</v>
      </c>
      <c r="BB5" s="47"/>
      <c r="BC5" s="47"/>
      <c r="BD5" s="47"/>
      <c r="BE5" s="47"/>
      <c r="BF5" s="47"/>
      <c r="BG5" s="47"/>
      <c r="BH5" s="48"/>
    </row>
    <row r="6" spans="1:60" ht="15.75" customHeight="1" x14ac:dyDescent="0.3">
      <c r="A6" s="52"/>
      <c r="B6" s="52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52"/>
      <c r="N6" s="9">
        <v>1</v>
      </c>
      <c r="O6" s="10">
        <v>2</v>
      </c>
      <c r="P6" s="10">
        <v>3</v>
      </c>
      <c r="Q6" s="10">
        <v>4</v>
      </c>
      <c r="R6" s="10">
        <v>5</v>
      </c>
      <c r="S6" s="10">
        <v>6</v>
      </c>
      <c r="T6" s="10">
        <v>7</v>
      </c>
      <c r="U6" s="10">
        <v>8</v>
      </c>
      <c r="V6" s="10">
        <v>9</v>
      </c>
      <c r="W6" s="10">
        <v>10</v>
      </c>
      <c r="X6" s="52"/>
      <c r="Y6" s="9">
        <v>1</v>
      </c>
      <c r="Z6" s="10">
        <v>2</v>
      </c>
      <c r="AA6" s="10">
        <v>3</v>
      </c>
      <c r="AB6" s="10">
        <v>4</v>
      </c>
      <c r="AC6" s="10">
        <v>5</v>
      </c>
      <c r="AD6" s="10">
        <v>6</v>
      </c>
      <c r="AE6" s="10">
        <v>7</v>
      </c>
      <c r="AF6" s="10">
        <v>8</v>
      </c>
      <c r="AG6" s="45"/>
      <c r="AH6" s="9">
        <v>1</v>
      </c>
      <c r="AI6" s="10">
        <v>2</v>
      </c>
      <c r="AJ6" s="10">
        <v>3</v>
      </c>
      <c r="AK6" s="10">
        <v>4</v>
      </c>
      <c r="AL6" s="10">
        <v>5</v>
      </c>
      <c r="AM6" s="10">
        <v>6</v>
      </c>
      <c r="AN6" s="10">
        <v>7</v>
      </c>
      <c r="AO6" s="10">
        <v>8</v>
      </c>
      <c r="AP6" s="45"/>
      <c r="AQ6" s="45"/>
      <c r="AR6" s="45"/>
      <c r="AS6" s="11">
        <v>1</v>
      </c>
      <c r="AT6" s="11">
        <v>2</v>
      </c>
      <c r="AU6" s="11">
        <v>3</v>
      </c>
      <c r="AV6" s="11">
        <v>4</v>
      </c>
      <c r="AW6" s="11">
        <v>5</v>
      </c>
      <c r="AX6" s="11">
        <v>6</v>
      </c>
      <c r="AY6" s="11">
        <v>7</v>
      </c>
      <c r="AZ6" s="11">
        <v>8</v>
      </c>
      <c r="BA6" s="11">
        <v>1</v>
      </c>
      <c r="BB6" s="11">
        <v>2</v>
      </c>
      <c r="BC6" s="11">
        <v>3</v>
      </c>
      <c r="BD6" s="11">
        <v>4</v>
      </c>
      <c r="BE6" s="11">
        <v>5</v>
      </c>
      <c r="BF6" s="11">
        <v>6</v>
      </c>
      <c r="BG6" s="11">
        <v>7</v>
      </c>
      <c r="BH6" s="11">
        <v>8</v>
      </c>
    </row>
    <row r="7" spans="1:60" ht="15.75" customHeight="1" x14ac:dyDescent="0.3">
      <c r="A7" s="14">
        <v>60200125005</v>
      </c>
      <c r="B7" s="16" t="s">
        <v>23</v>
      </c>
      <c r="C7" s="17">
        <v>1</v>
      </c>
      <c r="D7" s="17">
        <v>1</v>
      </c>
      <c r="E7" s="17">
        <v>1</v>
      </c>
      <c r="F7" s="17">
        <f t="shared" ref="F7:J7" si="0">IF(AB7&gt;0,1,0)</f>
        <v>1</v>
      </c>
      <c r="G7" s="17">
        <f t="shared" si="0"/>
        <v>1</v>
      </c>
      <c r="H7" s="17">
        <f t="shared" si="0"/>
        <v>1</v>
      </c>
      <c r="I7" s="17">
        <f t="shared" si="0"/>
        <v>1</v>
      </c>
      <c r="J7" s="17">
        <f t="shared" si="0"/>
        <v>1</v>
      </c>
      <c r="K7" s="17"/>
      <c r="L7" s="17"/>
      <c r="M7" s="21">
        <f>SUM(C7:L7)*10</f>
        <v>80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6">
        <f t="shared" ref="X7:X27" si="1">SUM(N7:W7)/10</f>
        <v>0</v>
      </c>
      <c r="Y7" s="27">
        <v>79</v>
      </c>
      <c r="Z7" s="27">
        <v>100</v>
      </c>
      <c r="AA7" s="27">
        <v>80</v>
      </c>
      <c r="AB7" s="27">
        <v>100</v>
      </c>
      <c r="AC7" s="27">
        <v>80</v>
      </c>
      <c r="AD7" s="27">
        <v>100</v>
      </c>
      <c r="AE7" s="27">
        <v>85</v>
      </c>
      <c r="AF7" s="27">
        <v>100</v>
      </c>
      <c r="AG7" s="28">
        <f t="shared" ref="AG7:AG27" si="2">SUM(Y7:AF7)/8</f>
        <v>90.5</v>
      </c>
      <c r="AH7" s="22" t="s">
        <v>26</v>
      </c>
      <c r="AI7" s="22">
        <v>88</v>
      </c>
      <c r="AJ7" s="22">
        <v>89</v>
      </c>
      <c r="AK7" s="22" t="s">
        <v>27</v>
      </c>
      <c r="AL7" s="22" t="s">
        <v>28</v>
      </c>
      <c r="AM7" s="22">
        <v>88</v>
      </c>
      <c r="AN7" s="22">
        <f t="shared" ref="AN7:AO7" si="3">(AY7+BG7)/2</f>
        <v>84</v>
      </c>
      <c r="AO7" s="22">
        <f t="shared" si="3"/>
        <v>83</v>
      </c>
      <c r="AP7" s="30">
        <f t="shared" ref="AP7:AP27" si="4">SUM(AH7:AO7)/7</f>
        <v>61.714285714285715</v>
      </c>
      <c r="AQ7" s="31">
        <v>86</v>
      </c>
      <c r="AR7" s="32">
        <v>80</v>
      </c>
      <c r="AS7" s="33"/>
      <c r="AT7" s="33"/>
      <c r="AU7" s="33"/>
      <c r="AV7" s="33"/>
      <c r="AW7" s="33"/>
      <c r="AX7" s="33"/>
      <c r="AY7" s="33">
        <v>87</v>
      </c>
      <c r="AZ7" s="33">
        <v>85</v>
      </c>
      <c r="BA7" s="33"/>
      <c r="BB7" s="33"/>
      <c r="BC7" s="33"/>
      <c r="BD7" s="33"/>
      <c r="BE7" s="33"/>
      <c r="BF7" s="33"/>
      <c r="BG7" s="33">
        <v>81</v>
      </c>
      <c r="BH7" s="33">
        <v>81</v>
      </c>
    </row>
    <row r="8" spans="1:60" ht="15.75" customHeight="1" x14ac:dyDescent="0.3">
      <c r="A8" s="20">
        <v>60200125014</v>
      </c>
      <c r="B8" s="34" t="s">
        <v>29</v>
      </c>
      <c r="C8" s="17">
        <v>1</v>
      </c>
      <c r="D8" s="17">
        <v>1</v>
      </c>
      <c r="E8" s="17">
        <v>1</v>
      </c>
      <c r="F8" s="17">
        <f t="shared" ref="F8:J8" si="5">IF(AB8&gt;0,1,0)</f>
        <v>0</v>
      </c>
      <c r="G8" s="17">
        <f t="shared" si="5"/>
        <v>1</v>
      </c>
      <c r="H8" s="17">
        <f t="shared" si="5"/>
        <v>1</v>
      </c>
      <c r="I8" s="17">
        <f t="shared" si="5"/>
        <v>1</v>
      </c>
      <c r="J8" s="17">
        <f t="shared" si="5"/>
        <v>1</v>
      </c>
      <c r="K8" s="17"/>
      <c r="L8" s="17"/>
      <c r="M8" s="21">
        <v>80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6">
        <f t="shared" si="1"/>
        <v>0</v>
      </c>
      <c r="Y8" s="27">
        <v>100</v>
      </c>
      <c r="Z8" s="27">
        <v>0</v>
      </c>
      <c r="AA8" s="27">
        <v>100</v>
      </c>
      <c r="AB8" s="27">
        <v>0</v>
      </c>
      <c r="AC8" s="27">
        <v>100</v>
      </c>
      <c r="AD8" s="27">
        <v>100</v>
      </c>
      <c r="AE8" s="27">
        <v>100</v>
      </c>
      <c r="AF8" s="27">
        <v>85</v>
      </c>
      <c r="AG8" s="28">
        <f t="shared" si="2"/>
        <v>73.125</v>
      </c>
      <c r="AH8" s="22">
        <f t="shared" ref="AH8:AO8" si="6">(AS8+BA8)/2</f>
        <v>0</v>
      </c>
      <c r="AI8" s="22">
        <f t="shared" si="6"/>
        <v>0</v>
      </c>
      <c r="AJ8" s="22">
        <f t="shared" si="6"/>
        <v>0</v>
      </c>
      <c r="AK8" s="22">
        <f t="shared" si="6"/>
        <v>0</v>
      </c>
      <c r="AL8" s="22">
        <f t="shared" si="6"/>
        <v>0</v>
      </c>
      <c r="AM8" s="22">
        <f t="shared" si="6"/>
        <v>0</v>
      </c>
      <c r="AN8" s="22">
        <f t="shared" si="6"/>
        <v>40.5</v>
      </c>
      <c r="AO8" s="22">
        <f t="shared" si="6"/>
        <v>83</v>
      </c>
      <c r="AP8" s="30">
        <f t="shared" si="4"/>
        <v>17.642857142857142</v>
      </c>
      <c r="AQ8" s="31">
        <f>IFERROR(VLOOKUP(A8, PENILAIAN_UAS!A3:B112, 2, FALSE), "NULL")</f>
        <v>91</v>
      </c>
      <c r="AR8" s="32">
        <f>(Kontrak!$B$6*M8)+(Kontrak!$B$4*X8)+(Kontrak!$B$2*AG8)+(Kontrak!$B$3*AP8)+(Kontrak!$B$5*AQ8)</f>
        <v>55.217857142857142</v>
      </c>
      <c r="AS8" s="33"/>
      <c r="AT8" s="33"/>
      <c r="AU8" s="33"/>
      <c r="AV8" s="33"/>
      <c r="AW8" s="33"/>
      <c r="AX8" s="33"/>
      <c r="AY8" s="33"/>
      <c r="AZ8" s="33">
        <v>85</v>
      </c>
      <c r="BA8" s="33"/>
      <c r="BB8" s="33"/>
      <c r="BC8" s="33"/>
      <c r="BD8" s="33"/>
      <c r="BE8" s="33"/>
      <c r="BF8" s="33"/>
      <c r="BG8" s="33">
        <v>81</v>
      </c>
      <c r="BH8" s="33">
        <v>81</v>
      </c>
    </row>
    <row r="9" spans="1:60" ht="15.75" customHeight="1" x14ac:dyDescent="0.3">
      <c r="A9" s="14">
        <v>60200125015</v>
      </c>
      <c r="B9" s="39" t="s">
        <v>32</v>
      </c>
      <c r="C9" s="17">
        <v>1</v>
      </c>
      <c r="D9" s="17">
        <v>1</v>
      </c>
      <c r="E9" s="17">
        <v>1</v>
      </c>
      <c r="F9" s="17">
        <f t="shared" ref="F9:J9" si="7">IF(AB9&gt;0,1,0)</f>
        <v>1</v>
      </c>
      <c r="G9" s="17">
        <f t="shared" si="7"/>
        <v>1</v>
      </c>
      <c r="H9" s="17">
        <f t="shared" si="7"/>
        <v>1</v>
      </c>
      <c r="I9" s="17">
        <f t="shared" si="7"/>
        <v>1</v>
      </c>
      <c r="J9" s="17">
        <f t="shared" si="7"/>
        <v>1</v>
      </c>
      <c r="K9" s="17"/>
      <c r="L9" s="17"/>
      <c r="M9" s="21">
        <v>80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6">
        <f t="shared" si="1"/>
        <v>0</v>
      </c>
      <c r="Y9" s="27">
        <v>85</v>
      </c>
      <c r="Z9" s="27">
        <v>100</v>
      </c>
      <c r="AA9" s="27">
        <v>80</v>
      </c>
      <c r="AB9" s="27">
        <v>100</v>
      </c>
      <c r="AC9" s="27">
        <v>82</v>
      </c>
      <c r="AD9" s="27">
        <v>100</v>
      </c>
      <c r="AE9" s="27">
        <v>100</v>
      </c>
      <c r="AF9" s="27">
        <v>87</v>
      </c>
      <c r="AG9" s="28">
        <f t="shared" si="2"/>
        <v>91.75</v>
      </c>
      <c r="AH9" s="40" t="s">
        <v>35</v>
      </c>
      <c r="AI9" s="40">
        <v>88</v>
      </c>
      <c r="AJ9" s="40">
        <v>88</v>
      </c>
      <c r="AK9" s="40" t="s">
        <v>36</v>
      </c>
      <c r="AL9" s="40">
        <v>89</v>
      </c>
      <c r="AM9" s="40" t="s">
        <v>35</v>
      </c>
      <c r="AN9" s="22">
        <f t="shared" ref="AN9:AO9" si="8">(AY9+BG9)/2</f>
        <v>83.5</v>
      </c>
      <c r="AO9" s="22">
        <f t="shared" si="8"/>
        <v>82.5</v>
      </c>
      <c r="AP9" s="30">
        <f t="shared" si="4"/>
        <v>61.571428571428569</v>
      </c>
      <c r="AQ9" s="31">
        <f>IFERROR(VLOOKUP(A9, PENILAIAN_UAS!A4:B113, 2, FALSE), "NULL")</f>
        <v>91</v>
      </c>
      <c r="AR9" s="32">
        <v>80</v>
      </c>
      <c r="AS9" s="33"/>
      <c r="AT9" s="33"/>
      <c r="AU9" s="33"/>
      <c r="AV9" s="33"/>
      <c r="AW9" s="33"/>
      <c r="AX9" s="33"/>
      <c r="AY9" s="33">
        <v>86</v>
      </c>
      <c r="AZ9" s="33">
        <v>84</v>
      </c>
      <c r="BA9" s="33"/>
      <c r="BB9" s="33"/>
      <c r="BC9" s="33"/>
      <c r="BD9" s="33"/>
      <c r="BE9" s="33"/>
      <c r="BF9" s="33"/>
      <c r="BG9" s="33">
        <v>81</v>
      </c>
      <c r="BH9" s="33">
        <v>81</v>
      </c>
    </row>
    <row r="10" spans="1:60" ht="15.75" customHeight="1" x14ac:dyDescent="0.3">
      <c r="A10" s="23">
        <v>60200125028</v>
      </c>
      <c r="B10" s="39" t="s">
        <v>37</v>
      </c>
      <c r="C10" s="17">
        <v>1</v>
      </c>
      <c r="D10" s="17">
        <v>1</v>
      </c>
      <c r="E10" s="17">
        <v>1</v>
      </c>
      <c r="F10" s="17">
        <f t="shared" ref="F10:J10" si="9">IF(AB10&gt;0,1,0)</f>
        <v>1</v>
      </c>
      <c r="G10" s="17">
        <f t="shared" si="9"/>
        <v>1</v>
      </c>
      <c r="H10" s="17">
        <f t="shared" si="9"/>
        <v>1</v>
      </c>
      <c r="I10" s="17">
        <f t="shared" si="9"/>
        <v>1</v>
      </c>
      <c r="J10" s="17">
        <f t="shared" si="9"/>
        <v>0</v>
      </c>
      <c r="K10" s="17"/>
      <c r="L10" s="17"/>
      <c r="M10" s="21">
        <v>80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6">
        <f t="shared" si="1"/>
        <v>0</v>
      </c>
      <c r="Y10" s="27">
        <v>100</v>
      </c>
      <c r="Z10" s="27">
        <v>80</v>
      </c>
      <c r="AA10" s="27">
        <v>100</v>
      </c>
      <c r="AB10" s="27">
        <v>80</v>
      </c>
      <c r="AC10" s="27">
        <v>100</v>
      </c>
      <c r="AD10" s="27">
        <v>100</v>
      </c>
      <c r="AE10" s="27">
        <v>100</v>
      </c>
      <c r="AF10" s="27">
        <v>0</v>
      </c>
      <c r="AG10" s="28">
        <f t="shared" si="2"/>
        <v>82.5</v>
      </c>
      <c r="AH10" s="22">
        <v>85</v>
      </c>
      <c r="AI10" s="22">
        <v>90</v>
      </c>
      <c r="AJ10" s="22">
        <v>93</v>
      </c>
      <c r="AK10" s="22">
        <v>78</v>
      </c>
      <c r="AL10" s="22">
        <v>75</v>
      </c>
      <c r="AM10" s="22">
        <v>78</v>
      </c>
      <c r="AN10" s="22">
        <v>81</v>
      </c>
      <c r="AO10" s="22">
        <v>82</v>
      </c>
      <c r="AP10" s="30">
        <f t="shared" si="4"/>
        <v>94.571428571428569</v>
      </c>
      <c r="AQ10" s="31">
        <f>IFERROR(VLOOKUP(A10, PENILAIAN_UAS!A5:B114, 2, FALSE), "NULL")</f>
        <v>91</v>
      </c>
      <c r="AR10" s="32">
        <v>86</v>
      </c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</row>
    <row r="11" spans="1:60" ht="15.75" customHeight="1" x14ac:dyDescent="0.3">
      <c r="A11" s="24">
        <v>60200125029</v>
      </c>
      <c r="B11" s="41" t="s">
        <v>40</v>
      </c>
      <c r="C11" s="17">
        <v>1</v>
      </c>
      <c r="D11" s="17">
        <v>1</v>
      </c>
      <c r="E11" s="17">
        <v>1</v>
      </c>
      <c r="F11" s="17">
        <f t="shared" ref="F11:J11" si="10">IF(AB11&gt;0,1,0)</f>
        <v>1</v>
      </c>
      <c r="G11" s="17">
        <f t="shared" si="10"/>
        <v>1</v>
      </c>
      <c r="H11" s="17">
        <f t="shared" si="10"/>
        <v>1</v>
      </c>
      <c r="I11" s="17">
        <f t="shared" si="10"/>
        <v>1</v>
      </c>
      <c r="J11" s="17">
        <f t="shared" si="10"/>
        <v>1</v>
      </c>
      <c r="K11" s="17"/>
      <c r="L11" s="17"/>
      <c r="M11" s="21">
        <v>80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6">
        <f t="shared" si="1"/>
        <v>0</v>
      </c>
      <c r="Y11" s="27">
        <v>85</v>
      </c>
      <c r="Z11" s="27">
        <v>100</v>
      </c>
      <c r="AA11" s="27">
        <v>80</v>
      </c>
      <c r="AB11" s="27">
        <v>100</v>
      </c>
      <c r="AC11" s="27">
        <v>82</v>
      </c>
      <c r="AD11" s="27">
        <v>100</v>
      </c>
      <c r="AE11" s="27">
        <v>100</v>
      </c>
      <c r="AF11" s="27">
        <v>87</v>
      </c>
      <c r="AG11" s="28">
        <f t="shared" si="2"/>
        <v>91.75</v>
      </c>
      <c r="AH11" s="22">
        <v>89</v>
      </c>
      <c r="AI11" s="22" t="s">
        <v>35</v>
      </c>
      <c r="AJ11" s="22">
        <v>88</v>
      </c>
      <c r="AK11" s="22">
        <v>88</v>
      </c>
      <c r="AL11" s="22" t="s">
        <v>35</v>
      </c>
      <c r="AM11" s="22">
        <v>88</v>
      </c>
      <c r="AN11" s="22">
        <f t="shared" ref="AN11:AO11" si="11">(AY11+BG11)/2</f>
        <v>84</v>
      </c>
      <c r="AO11" s="22">
        <f t="shared" si="11"/>
        <v>82.5</v>
      </c>
      <c r="AP11" s="30">
        <f t="shared" si="4"/>
        <v>74.214285714285708</v>
      </c>
      <c r="AQ11" s="31">
        <v>86</v>
      </c>
      <c r="AR11" s="32">
        <v>80</v>
      </c>
      <c r="AS11" s="33"/>
      <c r="AT11" s="33"/>
      <c r="AU11" s="33"/>
      <c r="AV11" s="33"/>
      <c r="AW11" s="33"/>
      <c r="AX11" s="33"/>
      <c r="AY11" s="33">
        <v>87</v>
      </c>
      <c r="AZ11" s="33">
        <v>84</v>
      </c>
      <c r="BA11" s="33"/>
      <c r="BB11" s="33"/>
      <c r="BC11" s="33"/>
      <c r="BD11" s="33"/>
      <c r="BE11" s="33"/>
      <c r="BF11" s="33"/>
      <c r="BG11" s="33">
        <v>81</v>
      </c>
      <c r="BH11" s="33">
        <v>81</v>
      </c>
    </row>
    <row r="12" spans="1:60" ht="15.75" customHeight="1" x14ac:dyDescent="0.3">
      <c r="A12" s="25">
        <v>60200125037</v>
      </c>
      <c r="B12" s="41" t="s">
        <v>42</v>
      </c>
      <c r="C12" s="17">
        <v>1</v>
      </c>
      <c r="D12" s="17">
        <v>1</v>
      </c>
      <c r="E12" s="17">
        <v>1</v>
      </c>
      <c r="F12" s="17">
        <f t="shared" ref="F12:J12" si="12">IF(AB12&gt;0,1,0)</f>
        <v>0</v>
      </c>
      <c r="G12" s="17">
        <f t="shared" si="12"/>
        <v>1</v>
      </c>
      <c r="H12" s="17">
        <f t="shared" si="12"/>
        <v>1</v>
      </c>
      <c r="I12" s="17">
        <f t="shared" si="12"/>
        <v>0</v>
      </c>
      <c r="J12" s="17">
        <f t="shared" si="12"/>
        <v>0</v>
      </c>
      <c r="K12" s="17"/>
      <c r="L12" s="17"/>
      <c r="M12" s="21">
        <v>80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6">
        <f t="shared" si="1"/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80</v>
      </c>
      <c r="AD12" s="27">
        <v>100</v>
      </c>
      <c r="AE12" s="27">
        <v>0</v>
      </c>
      <c r="AF12" s="27">
        <v>0</v>
      </c>
      <c r="AG12" s="28">
        <f t="shared" si="2"/>
        <v>22.5</v>
      </c>
      <c r="AH12" s="22">
        <f t="shared" ref="AH12:AO12" si="13">(AS12+BA12)/2</f>
        <v>0</v>
      </c>
      <c r="AI12" s="22">
        <f t="shared" si="13"/>
        <v>0</v>
      </c>
      <c r="AJ12" s="22">
        <f t="shared" si="13"/>
        <v>0</v>
      </c>
      <c r="AK12" s="22">
        <f t="shared" si="13"/>
        <v>0</v>
      </c>
      <c r="AL12" s="22">
        <f t="shared" si="13"/>
        <v>0</v>
      </c>
      <c r="AM12" s="22">
        <f t="shared" si="13"/>
        <v>0</v>
      </c>
      <c r="AN12" s="22">
        <f t="shared" si="13"/>
        <v>40.5</v>
      </c>
      <c r="AO12" s="22">
        <f t="shared" si="13"/>
        <v>40.5</v>
      </c>
      <c r="AP12" s="30">
        <f t="shared" si="4"/>
        <v>11.571428571428571</v>
      </c>
      <c r="AQ12" s="31">
        <f>IFERROR(VLOOKUP(A12, PENILAIAN_UAS!A7:B116, 2, FALSE), "NULL")</f>
        <v>91</v>
      </c>
      <c r="AR12" s="32">
        <f>(Kontrak!$B$6*M12)+(Kontrak!$B$4*X12)+(Kontrak!$B$2*AG12)+(Kontrak!$B$3*AP12)+(Kontrak!$B$5*AQ12)</f>
        <v>43.271428571428572</v>
      </c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>
        <v>81</v>
      </c>
      <c r="BH12" s="33">
        <v>81</v>
      </c>
    </row>
    <row r="13" spans="1:60" ht="15.75" customHeight="1" x14ac:dyDescent="0.3">
      <c r="A13" s="25">
        <v>60200125042</v>
      </c>
      <c r="B13" s="34" t="s">
        <v>45</v>
      </c>
      <c r="C13" s="17">
        <v>1</v>
      </c>
      <c r="D13" s="17">
        <v>1</v>
      </c>
      <c r="E13" s="17">
        <v>1</v>
      </c>
      <c r="F13" s="17">
        <f t="shared" ref="F13:J13" si="14">IF(AB13&gt;0,1,0)</f>
        <v>1</v>
      </c>
      <c r="G13" s="17">
        <f t="shared" si="14"/>
        <v>1</v>
      </c>
      <c r="H13" s="17">
        <f t="shared" si="14"/>
        <v>1</v>
      </c>
      <c r="I13" s="17">
        <f t="shared" si="14"/>
        <v>1</v>
      </c>
      <c r="J13" s="17">
        <f t="shared" si="14"/>
        <v>1</v>
      </c>
      <c r="K13" s="17"/>
      <c r="L13" s="17"/>
      <c r="M13" s="21">
        <v>80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6">
        <f t="shared" si="1"/>
        <v>0</v>
      </c>
      <c r="Y13" s="27">
        <v>100</v>
      </c>
      <c r="Z13" s="27">
        <v>0</v>
      </c>
      <c r="AA13" s="27">
        <v>100</v>
      </c>
      <c r="AB13" s="27">
        <v>80</v>
      </c>
      <c r="AC13" s="27">
        <v>100</v>
      </c>
      <c r="AD13" s="27">
        <v>100</v>
      </c>
      <c r="AE13" s="27">
        <v>86</v>
      </c>
      <c r="AF13" s="27">
        <v>100</v>
      </c>
      <c r="AG13" s="28">
        <f t="shared" si="2"/>
        <v>83.25</v>
      </c>
      <c r="AH13" s="22">
        <f t="shared" ref="AH13:AO13" si="15">(AS13+BA13)/2</f>
        <v>0</v>
      </c>
      <c r="AI13" s="22">
        <f t="shared" si="15"/>
        <v>0</v>
      </c>
      <c r="AJ13" s="22">
        <f t="shared" si="15"/>
        <v>86.5</v>
      </c>
      <c r="AK13" s="22">
        <f t="shared" si="15"/>
        <v>44</v>
      </c>
      <c r="AL13" s="22">
        <f t="shared" si="15"/>
        <v>42</v>
      </c>
      <c r="AM13" s="22">
        <f t="shared" si="15"/>
        <v>42.5</v>
      </c>
      <c r="AN13" s="22">
        <f t="shared" si="15"/>
        <v>42.5</v>
      </c>
      <c r="AO13" s="22">
        <f t="shared" si="15"/>
        <v>41</v>
      </c>
      <c r="AP13" s="30">
        <f t="shared" si="4"/>
        <v>42.642857142857146</v>
      </c>
      <c r="AQ13" s="31">
        <f>IFERROR(VLOOKUP(A13, PENILAIAN_UAS!A8:B117, 2, FALSE), "NULL")</f>
        <v>90</v>
      </c>
      <c r="AR13" s="32">
        <v>80</v>
      </c>
      <c r="AS13" s="33"/>
      <c r="AT13" s="33"/>
      <c r="AU13" s="33">
        <v>82</v>
      </c>
      <c r="AV13" s="33">
        <v>88</v>
      </c>
      <c r="AW13" s="33">
        <v>84</v>
      </c>
      <c r="AX13" s="33">
        <v>85</v>
      </c>
      <c r="AY13" s="33">
        <v>85</v>
      </c>
      <c r="AZ13" s="33">
        <v>82</v>
      </c>
      <c r="BA13" s="33"/>
      <c r="BB13" s="33"/>
      <c r="BC13" s="33">
        <v>91</v>
      </c>
      <c r="BD13" s="33"/>
      <c r="BE13" s="33"/>
      <c r="BF13" s="33"/>
      <c r="BG13" s="33"/>
      <c r="BH13" s="33"/>
    </row>
    <row r="14" spans="1:60" ht="15.75" customHeight="1" x14ac:dyDescent="0.3">
      <c r="A14" s="20">
        <v>60200125044</v>
      </c>
      <c r="B14" s="34" t="s">
        <v>48</v>
      </c>
      <c r="C14" s="17">
        <v>1</v>
      </c>
      <c r="D14" s="17">
        <v>1</v>
      </c>
      <c r="E14" s="17">
        <v>1</v>
      </c>
      <c r="F14" s="17">
        <f t="shared" ref="F14:J14" si="16">IF(AB14&gt;0,1,0)</f>
        <v>0</v>
      </c>
      <c r="G14" s="22">
        <f t="shared" si="16"/>
        <v>0</v>
      </c>
      <c r="H14" s="17">
        <f t="shared" si="16"/>
        <v>1</v>
      </c>
      <c r="I14" s="17">
        <f t="shared" si="16"/>
        <v>0</v>
      </c>
      <c r="J14" s="17">
        <f t="shared" si="16"/>
        <v>0</v>
      </c>
      <c r="K14" s="17"/>
      <c r="L14" s="17"/>
      <c r="M14" s="21">
        <v>80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6">
        <f t="shared" si="1"/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100</v>
      </c>
      <c r="AE14" s="27">
        <v>0</v>
      </c>
      <c r="AF14" s="27">
        <v>0</v>
      </c>
      <c r="AG14" s="28">
        <f t="shared" si="2"/>
        <v>12.5</v>
      </c>
      <c r="AH14" s="22">
        <f t="shared" ref="AH14:AO14" si="17">(AS14+BA14)/2</f>
        <v>0</v>
      </c>
      <c r="AI14" s="22">
        <f t="shared" si="17"/>
        <v>42</v>
      </c>
      <c r="AJ14" s="22">
        <f t="shared" si="17"/>
        <v>0</v>
      </c>
      <c r="AK14" s="22">
        <f t="shared" si="17"/>
        <v>0</v>
      </c>
      <c r="AL14" s="22">
        <f t="shared" si="17"/>
        <v>0</v>
      </c>
      <c r="AM14" s="22">
        <f t="shared" si="17"/>
        <v>0</v>
      </c>
      <c r="AN14" s="22">
        <f t="shared" si="17"/>
        <v>0</v>
      </c>
      <c r="AO14" s="22">
        <f t="shared" si="17"/>
        <v>0</v>
      </c>
      <c r="AP14" s="30">
        <f t="shared" si="4"/>
        <v>6</v>
      </c>
      <c r="AQ14" s="31">
        <v>86</v>
      </c>
      <c r="AR14" s="32">
        <f>(Kontrak!$B$6*M14)+(Kontrak!$B$4*X14)+(Kontrak!$B$2*AG14)+(Kontrak!$B$3*AP14)+(Kontrak!$B$5*AQ14)</f>
        <v>38.1</v>
      </c>
      <c r="AS14" s="33"/>
      <c r="AT14" s="33">
        <v>84</v>
      </c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</row>
    <row r="15" spans="1:60" ht="15.75" customHeight="1" x14ac:dyDescent="0.3">
      <c r="A15" s="24">
        <v>60200125045</v>
      </c>
      <c r="B15" s="34" t="s">
        <v>51</v>
      </c>
      <c r="C15" s="17">
        <v>1</v>
      </c>
      <c r="D15" s="17">
        <v>1</v>
      </c>
      <c r="E15" s="17">
        <v>1</v>
      </c>
      <c r="F15" s="17">
        <f t="shared" ref="F15:J15" si="18">IF(AB15&gt;0,1,0)</f>
        <v>1</v>
      </c>
      <c r="G15" s="17">
        <f t="shared" si="18"/>
        <v>1</v>
      </c>
      <c r="H15" s="17">
        <f t="shared" si="18"/>
        <v>1</v>
      </c>
      <c r="I15" s="17">
        <f t="shared" si="18"/>
        <v>1</v>
      </c>
      <c r="J15" s="17">
        <f t="shared" si="18"/>
        <v>1</v>
      </c>
      <c r="K15" s="17"/>
      <c r="L15" s="17"/>
      <c r="M15" s="21">
        <v>80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6">
        <f t="shared" si="1"/>
        <v>0</v>
      </c>
      <c r="Y15" s="27">
        <v>85</v>
      </c>
      <c r="Z15" s="27">
        <v>100</v>
      </c>
      <c r="AA15" s="27">
        <v>85</v>
      </c>
      <c r="AB15" s="27">
        <v>100</v>
      </c>
      <c r="AC15" s="27">
        <v>80</v>
      </c>
      <c r="AD15" s="27">
        <v>100</v>
      </c>
      <c r="AE15" s="27">
        <v>87</v>
      </c>
      <c r="AF15" s="27">
        <v>100</v>
      </c>
      <c r="AG15" s="28">
        <f t="shared" si="2"/>
        <v>92.125</v>
      </c>
      <c r="AH15" s="22" t="s">
        <v>26</v>
      </c>
      <c r="AI15" s="22" t="s">
        <v>35</v>
      </c>
      <c r="AJ15" s="22" t="s">
        <v>35</v>
      </c>
      <c r="AK15" s="22" t="s">
        <v>36</v>
      </c>
      <c r="AL15" s="22">
        <v>89</v>
      </c>
      <c r="AM15" s="22">
        <v>88</v>
      </c>
      <c r="AN15" s="22">
        <v>82</v>
      </c>
      <c r="AO15" s="22">
        <v>82</v>
      </c>
      <c r="AP15" s="30">
        <f t="shared" si="4"/>
        <v>48.714285714285715</v>
      </c>
      <c r="AQ15" s="31">
        <f>IFERROR(VLOOKUP(A15, PENILAIAN_UAS!A10:B119, 2, FALSE), "NULL")</f>
        <v>91</v>
      </c>
      <c r="AR15" s="32">
        <v>80</v>
      </c>
      <c r="AS15" s="33"/>
      <c r="AT15" s="33"/>
      <c r="AU15" s="33"/>
      <c r="AV15" s="33"/>
      <c r="AW15" s="33"/>
      <c r="AX15" s="33"/>
      <c r="AY15" s="33">
        <v>85</v>
      </c>
      <c r="AZ15" s="33">
        <v>85</v>
      </c>
      <c r="BA15" s="33"/>
      <c r="BB15" s="33"/>
      <c r="BC15" s="33"/>
      <c r="BD15" s="33"/>
      <c r="BE15" s="33"/>
      <c r="BF15" s="33"/>
      <c r="BG15" s="33">
        <v>82</v>
      </c>
      <c r="BH15" s="33">
        <v>82</v>
      </c>
    </row>
    <row r="16" spans="1:60" ht="15.75" customHeight="1" x14ac:dyDescent="0.3">
      <c r="A16" s="24">
        <v>60200125069</v>
      </c>
      <c r="B16" s="34" t="s">
        <v>53</v>
      </c>
      <c r="C16" s="17">
        <v>1</v>
      </c>
      <c r="D16" s="17">
        <v>1</v>
      </c>
      <c r="E16" s="17">
        <v>1</v>
      </c>
      <c r="F16" s="17">
        <f t="shared" ref="F16:J16" si="19">IF(AB16&gt;0,1,0)</f>
        <v>1</v>
      </c>
      <c r="G16" s="17">
        <f t="shared" si="19"/>
        <v>1</v>
      </c>
      <c r="H16" s="17">
        <f t="shared" si="19"/>
        <v>1</v>
      </c>
      <c r="I16" s="17">
        <f t="shared" si="19"/>
        <v>0</v>
      </c>
      <c r="J16" s="17">
        <f t="shared" si="19"/>
        <v>1</v>
      </c>
      <c r="K16" s="17"/>
      <c r="L16" s="17"/>
      <c r="M16" s="21">
        <v>80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6">
        <f t="shared" si="1"/>
        <v>0</v>
      </c>
      <c r="Y16" s="27">
        <v>85</v>
      </c>
      <c r="Z16" s="27">
        <v>100</v>
      </c>
      <c r="AA16" s="27">
        <v>80</v>
      </c>
      <c r="AB16" s="27">
        <v>100</v>
      </c>
      <c r="AC16" s="27">
        <v>80</v>
      </c>
      <c r="AD16" s="27">
        <v>100</v>
      </c>
      <c r="AE16" s="27">
        <v>0</v>
      </c>
      <c r="AF16" s="27">
        <v>100</v>
      </c>
      <c r="AG16" s="28">
        <f t="shared" si="2"/>
        <v>80.625</v>
      </c>
      <c r="AH16" s="22">
        <f t="shared" ref="AH16:AO16" si="20">(AS16+BA16)/2</f>
        <v>45.5</v>
      </c>
      <c r="AI16" s="22">
        <f t="shared" si="20"/>
        <v>0</v>
      </c>
      <c r="AJ16" s="22">
        <f t="shared" si="20"/>
        <v>40.5</v>
      </c>
      <c r="AK16" s="22">
        <f t="shared" si="20"/>
        <v>43</v>
      </c>
      <c r="AL16" s="22">
        <f t="shared" si="20"/>
        <v>42.5</v>
      </c>
      <c r="AM16" s="22">
        <f t="shared" si="20"/>
        <v>0</v>
      </c>
      <c r="AN16" s="22">
        <f t="shared" si="20"/>
        <v>0</v>
      </c>
      <c r="AO16" s="22">
        <f t="shared" si="20"/>
        <v>0</v>
      </c>
      <c r="AP16" s="30">
        <f t="shared" si="4"/>
        <v>24.5</v>
      </c>
      <c r="AQ16" s="31">
        <v>86</v>
      </c>
      <c r="AR16" s="32">
        <v>80</v>
      </c>
      <c r="AS16" s="33"/>
      <c r="AT16" s="33"/>
      <c r="AU16" s="33">
        <v>81</v>
      </c>
      <c r="AV16" s="33">
        <v>86</v>
      </c>
      <c r="AW16" s="33">
        <v>85</v>
      </c>
      <c r="AX16" s="33"/>
      <c r="AY16" s="33"/>
      <c r="AZ16" s="33"/>
      <c r="BA16" s="33">
        <v>91</v>
      </c>
      <c r="BB16" s="33"/>
      <c r="BC16" s="33"/>
      <c r="BD16" s="33"/>
      <c r="BE16" s="33"/>
      <c r="BF16" s="33"/>
      <c r="BG16" s="33"/>
      <c r="BH16" s="33"/>
    </row>
    <row r="17" spans="1:60" ht="15.75" customHeight="1" x14ac:dyDescent="0.3">
      <c r="A17" s="20">
        <v>60200125070</v>
      </c>
      <c r="B17" s="34" t="s">
        <v>55</v>
      </c>
      <c r="C17" s="17">
        <v>1</v>
      </c>
      <c r="D17" s="17">
        <v>1</v>
      </c>
      <c r="E17" s="17">
        <v>1</v>
      </c>
      <c r="F17" s="17">
        <f t="shared" ref="F17:J17" si="21">IF(AB17&gt;0,1,0)</f>
        <v>1</v>
      </c>
      <c r="G17" s="17">
        <f t="shared" si="21"/>
        <v>1</v>
      </c>
      <c r="H17" s="17">
        <f t="shared" si="21"/>
        <v>1</v>
      </c>
      <c r="I17" s="17">
        <f t="shared" si="21"/>
        <v>1</v>
      </c>
      <c r="J17" s="17">
        <f t="shared" si="21"/>
        <v>0</v>
      </c>
      <c r="K17" s="17"/>
      <c r="L17" s="17"/>
      <c r="M17" s="21">
        <v>80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6">
        <f t="shared" si="1"/>
        <v>0</v>
      </c>
      <c r="Y17" s="27">
        <v>100</v>
      </c>
      <c r="Z17" s="27">
        <v>80</v>
      </c>
      <c r="AA17" s="27">
        <v>100</v>
      </c>
      <c r="AB17" s="27">
        <v>79</v>
      </c>
      <c r="AC17" s="27">
        <v>100</v>
      </c>
      <c r="AD17" s="27">
        <v>100</v>
      </c>
      <c r="AE17" s="27">
        <v>87</v>
      </c>
      <c r="AF17" s="27">
        <v>0</v>
      </c>
      <c r="AG17" s="28">
        <f t="shared" si="2"/>
        <v>80.75</v>
      </c>
      <c r="AH17" s="22" t="s">
        <v>26</v>
      </c>
      <c r="AI17" s="22">
        <v>88</v>
      </c>
      <c r="AJ17" s="22">
        <v>88</v>
      </c>
      <c r="AK17" s="22" t="s">
        <v>35</v>
      </c>
      <c r="AL17" s="22" t="s">
        <v>35</v>
      </c>
      <c r="AM17" s="22">
        <v>88</v>
      </c>
      <c r="AN17" s="22">
        <f t="shared" ref="AN17:AO17" si="22">(AY17+BG17)/2</f>
        <v>85</v>
      </c>
      <c r="AO17" s="22">
        <f t="shared" si="22"/>
        <v>84.5</v>
      </c>
      <c r="AP17" s="30">
        <f t="shared" si="4"/>
        <v>61.928571428571431</v>
      </c>
      <c r="AQ17" s="31">
        <f>IFERROR(VLOOKUP(A17, PENILAIAN_UAS!A12:B121, 2, FALSE), "NULL")</f>
        <v>91</v>
      </c>
      <c r="AR17" s="32">
        <v>80</v>
      </c>
      <c r="AS17" s="33"/>
      <c r="AT17" s="33"/>
      <c r="AU17" s="33"/>
      <c r="AV17" s="33"/>
      <c r="AW17" s="33"/>
      <c r="AX17" s="33"/>
      <c r="AY17" s="33">
        <v>86</v>
      </c>
      <c r="AZ17" s="33">
        <v>85</v>
      </c>
      <c r="BA17" s="33"/>
      <c r="BB17" s="33"/>
      <c r="BC17" s="33"/>
      <c r="BD17" s="33"/>
      <c r="BE17" s="33"/>
      <c r="BF17" s="33"/>
      <c r="BG17" s="33">
        <v>84</v>
      </c>
      <c r="BH17" s="33">
        <v>84</v>
      </c>
    </row>
    <row r="18" spans="1:60" ht="15.75" customHeight="1" x14ac:dyDescent="0.3">
      <c r="A18" s="20">
        <v>60200125091</v>
      </c>
      <c r="B18" s="34" t="s">
        <v>58</v>
      </c>
      <c r="C18" s="17">
        <v>1</v>
      </c>
      <c r="D18" s="17">
        <v>1</v>
      </c>
      <c r="E18" s="17">
        <v>1</v>
      </c>
      <c r="F18" s="17">
        <f t="shared" ref="F18:J18" si="23">IF(AB18&gt;0,1,0)</f>
        <v>1</v>
      </c>
      <c r="G18" s="17">
        <f t="shared" si="23"/>
        <v>1</v>
      </c>
      <c r="H18" s="17">
        <f t="shared" si="23"/>
        <v>1</v>
      </c>
      <c r="I18" s="17">
        <f t="shared" si="23"/>
        <v>1</v>
      </c>
      <c r="J18" s="17">
        <f t="shared" si="23"/>
        <v>1</v>
      </c>
      <c r="K18" s="17"/>
      <c r="L18" s="17"/>
      <c r="M18" s="21">
        <v>80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6">
        <f t="shared" si="1"/>
        <v>0</v>
      </c>
      <c r="Y18" s="27">
        <v>80</v>
      </c>
      <c r="Z18" s="27">
        <v>100</v>
      </c>
      <c r="AA18" s="27">
        <v>85</v>
      </c>
      <c r="AB18" s="27">
        <v>100</v>
      </c>
      <c r="AC18" s="27">
        <v>82</v>
      </c>
      <c r="AD18" s="27">
        <v>100</v>
      </c>
      <c r="AE18" s="27">
        <v>100</v>
      </c>
      <c r="AF18" s="27">
        <v>87</v>
      </c>
      <c r="AG18" s="28">
        <f t="shared" si="2"/>
        <v>91.75</v>
      </c>
      <c r="AH18" s="22">
        <f t="shared" ref="AH18:AO18" si="24">(AS18+BA18)/2</f>
        <v>42.5</v>
      </c>
      <c r="AI18" s="22">
        <f t="shared" si="24"/>
        <v>42</v>
      </c>
      <c r="AJ18" s="22">
        <f t="shared" si="24"/>
        <v>42.5</v>
      </c>
      <c r="AK18" s="22">
        <f t="shared" si="24"/>
        <v>42.5</v>
      </c>
      <c r="AL18" s="22">
        <f t="shared" si="24"/>
        <v>43.5</v>
      </c>
      <c r="AM18" s="22">
        <f t="shared" si="24"/>
        <v>42.5</v>
      </c>
      <c r="AN18" s="22">
        <f t="shared" si="24"/>
        <v>85.5</v>
      </c>
      <c r="AO18" s="22">
        <f t="shared" si="24"/>
        <v>84.5</v>
      </c>
      <c r="AP18" s="30">
        <f t="shared" si="4"/>
        <v>60.785714285714285</v>
      </c>
      <c r="AQ18" s="31">
        <f>IFERROR(VLOOKUP(A18, PENILAIAN_UAS!A13:B122, 2, FALSE), "NULL")</f>
        <v>91</v>
      </c>
      <c r="AR18" s="32">
        <v>80</v>
      </c>
      <c r="AS18" s="33">
        <v>85</v>
      </c>
      <c r="AT18" s="33">
        <v>84</v>
      </c>
      <c r="AU18" s="33">
        <v>85</v>
      </c>
      <c r="AV18" s="33">
        <v>85</v>
      </c>
      <c r="AW18" s="33">
        <v>87</v>
      </c>
      <c r="AX18" s="33">
        <v>85</v>
      </c>
      <c r="AY18" s="33">
        <v>86</v>
      </c>
      <c r="AZ18" s="33">
        <v>84</v>
      </c>
      <c r="BA18" s="33"/>
      <c r="BB18" s="33"/>
      <c r="BC18" s="33"/>
      <c r="BD18" s="33"/>
      <c r="BE18" s="33"/>
      <c r="BF18" s="33"/>
      <c r="BG18" s="33">
        <v>85</v>
      </c>
      <c r="BH18" s="33">
        <v>85</v>
      </c>
    </row>
    <row r="19" spans="1:60" ht="15.75" customHeight="1" x14ac:dyDescent="0.3">
      <c r="A19" s="24">
        <v>60200125095</v>
      </c>
      <c r="B19" s="34" t="s">
        <v>61</v>
      </c>
      <c r="C19" s="17">
        <v>1</v>
      </c>
      <c r="D19" s="17">
        <v>1</v>
      </c>
      <c r="E19" s="17">
        <v>1</v>
      </c>
      <c r="F19" s="17">
        <f t="shared" ref="F19:J19" si="25">IF(AB19&gt;0,1,0)</f>
        <v>1</v>
      </c>
      <c r="G19" s="17">
        <f t="shared" si="25"/>
        <v>1</v>
      </c>
      <c r="H19" s="17">
        <f t="shared" si="25"/>
        <v>1</v>
      </c>
      <c r="I19" s="17">
        <f t="shared" si="25"/>
        <v>0</v>
      </c>
      <c r="J19" s="17">
        <f t="shared" si="25"/>
        <v>0</v>
      </c>
      <c r="K19" s="17"/>
      <c r="L19" s="17"/>
      <c r="M19" s="21">
        <v>80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6">
        <f t="shared" si="1"/>
        <v>0</v>
      </c>
      <c r="Y19" s="27">
        <v>80</v>
      </c>
      <c r="Z19" s="27">
        <v>80</v>
      </c>
      <c r="AA19" s="27">
        <v>79</v>
      </c>
      <c r="AB19" s="27">
        <v>80</v>
      </c>
      <c r="AC19" s="27">
        <v>80</v>
      </c>
      <c r="AD19" s="27">
        <v>100</v>
      </c>
      <c r="AE19" s="27">
        <v>0</v>
      </c>
      <c r="AF19" s="27">
        <v>0</v>
      </c>
      <c r="AG19" s="28">
        <f t="shared" si="2"/>
        <v>62.375</v>
      </c>
      <c r="AH19" s="22">
        <v>90</v>
      </c>
      <c r="AI19" s="22">
        <f t="shared" ref="AI19:AO19" si="26">(AT19+BB19)/2</f>
        <v>40</v>
      </c>
      <c r="AJ19" s="22">
        <f t="shared" si="26"/>
        <v>0</v>
      </c>
      <c r="AK19" s="22">
        <f t="shared" si="26"/>
        <v>43</v>
      </c>
      <c r="AL19" s="22">
        <f t="shared" si="26"/>
        <v>40</v>
      </c>
      <c r="AM19" s="22">
        <f t="shared" si="26"/>
        <v>0</v>
      </c>
      <c r="AN19" s="22">
        <f t="shared" si="26"/>
        <v>40.5</v>
      </c>
      <c r="AO19" s="22">
        <f t="shared" si="26"/>
        <v>40.5</v>
      </c>
      <c r="AP19" s="30">
        <f t="shared" si="4"/>
        <v>42</v>
      </c>
      <c r="AQ19" s="31">
        <v>86</v>
      </c>
      <c r="AR19" s="32">
        <v>80</v>
      </c>
      <c r="AS19" s="33"/>
      <c r="AT19" s="33">
        <v>80</v>
      </c>
      <c r="AU19" s="33"/>
      <c r="AV19" s="33">
        <v>86</v>
      </c>
      <c r="AW19" s="33">
        <v>80</v>
      </c>
      <c r="AX19" s="33"/>
      <c r="AY19" s="33"/>
      <c r="AZ19" s="33"/>
      <c r="BA19" s="33"/>
      <c r="BB19" s="33"/>
      <c r="BC19" s="33"/>
      <c r="BD19" s="33"/>
      <c r="BE19" s="33"/>
      <c r="BF19" s="33"/>
      <c r="BG19" s="33">
        <v>81</v>
      </c>
      <c r="BH19" s="33">
        <v>81</v>
      </c>
    </row>
    <row r="20" spans="1:60" ht="15.75" customHeight="1" x14ac:dyDescent="0.3">
      <c r="A20" s="20">
        <v>60200125098</v>
      </c>
      <c r="B20" s="34" t="s">
        <v>63</v>
      </c>
      <c r="C20" s="17">
        <v>1</v>
      </c>
      <c r="D20" s="17">
        <v>1</v>
      </c>
      <c r="E20" s="17">
        <v>1</v>
      </c>
      <c r="F20" s="17">
        <f t="shared" ref="F20:J20" si="27">IF(AB20&gt;0,1,0)</f>
        <v>1</v>
      </c>
      <c r="G20" s="17">
        <f t="shared" si="27"/>
        <v>1</v>
      </c>
      <c r="H20" s="17">
        <f t="shared" si="27"/>
        <v>1</v>
      </c>
      <c r="I20" s="17">
        <f t="shared" si="27"/>
        <v>1</v>
      </c>
      <c r="J20" s="17">
        <f t="shared" si="27"/>
        <v>1</v>
      </c>
      <c r="K20" s="17"/>
      <c r="L20" s="17"/>
      <c r="M20" s="21">
        <v>80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6">
        <f t="shared" si="1"/>
        <v>0</v>
      </c>
      <c r="Y20" s="27">
        <v>100</v>
      </c>
      <c r="Z20" s="27">
        <v>80</v>
      </c>
      <c r="AA20" s="27">
        <v>100</v>
      </c>
      <c r="AB20" s="27">
        <v>75</v>
      </c>
      <c r="AC20" s="27">
        <v>100</v>
      </c>
      <c r="AD20" s="27">
        <v>100</v>
      </c>
      <c r="AE20" s="27">
        <v>87</v>
      </c>
      <c r="AF20" s="27">
        <v>100</v>
      </c>
      <c r="AG20" s="28">
        <f t="shared" si="2"/>
        <v>92.75</v>
      </c>
      <c r="AH20" s="22">
        <v>80</v>
      </c>
      <c r="AI20" s="22">
        <f t="shared" ref="AI20:AO20" si="28">(AT20+BB20)/2</f>
        <v>40.5</v>
      </c>
      <c r="AJ20" s="22">
        <f t="shared" si="28"/>
        <v>0</v>
      </c>
      <c r="AK20" s="22">
        <f t="shared" si="28"/>
        <v>41</v>
      </c>
      <c r="AL20" s="22">
        <f t="shared" si="28"/>
        <v>42</v>
      </c>
      <c r="AM20" s="22">
        <f t="shared" si="28"/>
        <v>42.5</v>
      </c>
      <c r="AN20" s="22">
        <f t="shared" si="28"/>
        <v>83.5</v>
      </c>
      <c r="AO20" s="22">
        <f t="shared" si="28"/>
        <v>41</v>
      </c>
      <c r="AP20" s="30">
        <f t="shared" si="4"/>
        <v>52.928571428571431</v>
      </c>
      <c r="AQ20" s="31">
        <v>86</v>
      </c>
      <c r="AR20" s="32">
        <v>80</v>
      </c>
      <c r="AS20" s="33">
        <v>80</v>
      </c>
      <c r="AT20" s="33">
        <v>81</v>
      </c>
      <c r="AU20" s="33"/>
      <c r="AV20" s="33">
        <v>82</v>
      </c>
      <c r="AW20" s="33">
        <v>84</v>
      </c>
      <c r="AX20" s="33">
        <v>85</v>
      </c>
      <c r="AY20" s="33">
        <v>85</v>
      </c>
      <c r="AZ20" s="33"/>
      <c r="BA20" s="33"/>
      <c r="BB20" s="33"/>
      <c r="BC20" s="33"/>
      <c r="BD20" s="33"/>
      <c r="BE20" s="33"/>
      <c r="BF20" s="33"/>
      <c r="BG20" s="33">
        <v>82</v>
      </c>
      <c r="BH20" s="33">
        <v>82</v>
      </c>
    </row>
    <row r="21" spans="1:60" ht="15.75" customHeight="1" x14ac:dyDescent="0.3">
      <c r="A21" s="29">
        <v>60200125111</v>
      </c>
      <c r="B21" s="34" t="s">
        <v>66</v>
      </c>
      <c r="C21" s="17">
        <v>1</v>
      </c>
      <c r="D21" s="17">
        <v>1</v>
      </c>
      <c r="E21" s="17">
        <v>1</v>
      </c>
      <c r="F21" s="17">
        <f t="shared" ref="F21:J21" si="29">IF(AB21&gt;0,1,0)</f>
        <v>1</v>
      </c>
      <c r="G21" s="22">
        <f t="shared" si="29"/>
        <v>1</v>
      </c>
      <c r="H21" s="17">
        <f t="shared" si="29"/>
        <v>1</v>
      </c>
      <c r="I21" s="17">
        <f t="shared" si="29"/>
        <v>0</v>
      </c>
      <c r="J21" s="17">
        <f t="shared" si="29"/>
        <v>1</v>
      </c>
      <c r="K21" s="17"/>
      <c r="L21" s="17"/>
      <c r="M21" s="21">
        <v>80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6">
        <f t="shared" si="1"/>
        <v>0</v>
      </c>
      <c r="Y21" s="27">
        <v>70</v>
      </c>
      <c r="Z21" s="27">
        <v>100</v>
      </c>
      <c r="AA21" s="27">
        <v>80</v>
      </c>
      <c r="AB21" s="27">
        <v>80</v>
      </c>
      <c r="AC21" s="27">
        <v>100</v>
      </c>
      <c r="AD21" s="27">
        <v>100</v>
      </c>
      <c r="AE21" s="27">
        <v>0</v>
      </c>
      <c r="AF21" s="27">
        <v>100</v>
      </c>
      <c r="AG21" s="28">
        <f t="shared" si="2"/>
        <v>78.75</v>
      </c>
      <c r="AH21" s="22">
        <v>80</v>
      </c>
      <c r="AI21" s="22">
        <f t="shared" ref="AI21:AO21" si="30">(AT21+BB21)/2</f>
        <v>42.5</v>
      </c>
      <c r="AJ21" s="22">
        <f t="shared" si="30"/>
        <v>42.5</v>
      </c>
      <c r="AK21" s="22">
        <f t="shared" si="30"/>
        <v>0</v>
      </c>
      <c r="AL21" s="22">
        <f t="shared" si="30"/>
        <v>0</v>
      </c>
      <c r="AM21" s="22">
        <f t="shared" si="30"/>
        <v>40</v>
      </c>
      <c r="AN21" s="22">
        <f t="shared" si="30"/>
        <v>42.5</v>
      </c>
      <c r="AO21" s="22">
        <f t="shared" si="30"/>
        <v>42.5</v>
      </c>
      <c r="AP21" s="30">
        <f t="shared" si="4"/>
        <v>41.428571428571431</v>
      </c>
      <c r="AQ21" s="31">
        <v>86</v>
      </c>
      <c r="AR21" s="32">
        <v>80</v>
      </c>
      <c r="AS21" s="33"/>
      <c r="AT21" s="33">
        <v>85</v>
      </c>
      <c r="AU21" s="33">
        <v>85</v>
      </c>
      <c r="AV21" s="33"/>
      <c r="AW21" s="33"/>
      <c r="AX21" s="33">
        <v>80</v>
      </c>
      <c r="AY21" s="33">
        <v>85</v>
      </c>
      <c r="AZ21" s="33">
        <v>85</v>
      </c>
      <c r="BA21" s="33">
        <v>91</v>
      </c>
      <c r="BB21" s="33"/>
      <c r="BC21" s="33"/>
      <c r="BD21" s="33"/>
      <c r="BE21" s="33"/>
      <c r="BF21" s="33"/>
      <c r="BG21" s="33"/>
      <c r="BH21" s="33"/>
    </row>
    <row r="22" spans="1:60" ht="15.75" customHeight="1" x14ac:dyDescent="0.3">
      <c r="A22" s="20">
        <v>60200125112</v>
      </c>
      <c r="B22" s="34" t="s">
        <v>68</v>
      </c>
      <c r="C22" s="17">
        <v>1</v>
      </c>
      <c r="D22" s="17">
        <v>1</v>
      </c>
      <c r="E22" s="17">
        <v>1</v>
      </c>
      <c r="F22" s="17">
        <f t="shared" ref="F22:J22" si="31">IF(AB22&gt;0,1,0)</f>
        <v>1</v>
      </c>
      <c r="G22" s="17">
        <f t="shared" si="31"/>
        <v>1</v>
      </c>
      <c r="H22" s="17">
        <f t="shared" si="31"/>
        <v>1</v>
      </c>
      <c r="I22" s="17">
        <f t="shared" si="31"/>
        <v>1</v>
      </c>
      <c r="J22" s="17">
        <f t="shared" si="31"/>
        <v>1</v>
      </c>
      <c r="K22" s="17"/>
      <c r="L22" s="17"/>
      <c r="M22" s="21">
        <v>80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6">
        <f t="shared" si="1"/>
        <v>0</v>
      </c>
      <c r="Y22" s="27">
        <v>100</v>
      </c>
      <c r="Z22" s="27">
        <v>70</v>
      </c>
      <c r="AA22" s="27">
        <v>100</v>
      </c>
      <c r="AB22" s="27">
        <v>80</v>
      </c>
      <c r="AC22" s="27">
        <v>100</v>
      </c>
      <c r="AD22" s="27">
        <v>100</v>
      </c>
      <c r="AE22" s="27">
        <v>100</v>
      </c>
      <c r="AF22" s="27">
        <v>85</v>
      </c>
      <c r="AG22" s="28">
        <f t="shared" si="2"/>
        <v>91.875</v>
      </c>
      <c r="AH22" s="22">
        <f t="shared" ref="AH22:AO22" si="32">(AS22+BA22)/2</f>
        <v>88.5</v>
      </c>
      <c r="AI22" s="22">
        <f t="shared" si="32"/>
        <v>41.5</v>
      </c>
      <c r="AJ22" s="22">
        <f t="shared" si="32"/>
        <v>40</v>
      </c>
      <c r="AK22" s="22">
        <f t="shared" si="32"/>
        <v>40.5</v>
      </c>
      <c r="AL22" s="22">
        <f t="shared" si="32"/>
        <v>40</v>
      </c>
      <c r="AM22" s="22">
        <f t="shared" si="32"/>
        <v>42</v>
      </c>
      <c r="AN22" s="22">
        <f t="shared" si="32"/>
        <v>40.5</v>
      </c>
      <c r="AO22" s="22">
        <f t="shared" si="32"/>
        <v>40.5</v>
      </c>
      <c r="AP22" s="30">
        <f t="shared" si="4"/>
        <v>53.357142857142854</v>
      </c>
      <c r="AQ22" s="31">
        <v>86</v>
      </c>
      <c r="AR22" s="32">
        <v>80</v>
      </c>
      <c r="AS22" s="33">
        <v>86</v>
      </c>
      <c r="AT22" s="33">
        <v>83</v>
      </c>
      <c r="AU22" s="33">
        <v>80</v>
      </c>
      <c r="AV22" s="33">
        <v>81</v>
      </c>
      <c r="AW22" s="33">
        <v>80</v>
      </c>
      <c r="AX22" s="33">
        <v>84</v>
      </c>
      <c r="AY22" s="33"/>
      <c r="AZ22" s="33"/>
      <c r="BA22" s="33">
        <v>91</v>
      </c>
      <c r="BB22" s="33"/>
      <c r="BC22" s="33"/>
      <c r="BD22" s="33"/>
      <c r="BE22" s="33"/>
      <c r="BF22" s="33"/>
      <c r="BG22" s="33">
        <v>81</v>
      </c>
      <c r="BH22" s="33">
        <v>81</v>
      </c>
    </row>
    <row r="23" spans="1:60" ht="15.75" customHeight="1" x14ac:dyDescent="0.3">
      <c r="A23" s="24">
        <v>60200125145</v>
      </c>
      <c r="B23" s="34" t="s">
        <v>70</v>
      </c>
      <c r="C23" s="17">
        <v>1</v>
      </c>
      <c r="D23" s="17">
        <v>1</v>
      </c>
      <c r="E23" s="17">
        <v>1</v>
      </c>
      <c r="F23" s="17">
        <f t="shared" ref="F23:J23" si="33">IF(AB23&gt;0,1,0)</f>
        <v>1</v>
      </c>
      <c r="G23" s="22">
        <f t="shared" si="33"/>
        <v>1</v>
      </c>
      <c r="H23" s="17">
        <f t="shared" si="33"/>
        <v>1</v>
      </c>
      <c r="I23" s="17">
        <f t="shared" si="33"/>
        <v>1</v>
      </c>
      <c r="J23" s="17">
        <f t="shared" si="33"/>
        <v>1</v>
      </c>
      <c r="K23" s="17"/>
      <c r="L23" s="17"/>
      <c r="M23" s="21">
        <v>80</v>
      </c>
      <c r="N23" s="22">
        <v>100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6">
        <f t="shared" si="1"/>
        <v>10</v>
      </c>
      <c r="Y23" s="27">
        <v>100</v>
      </c>
      <c r="Z23" s="27">
        <v>70</v>
      </c>
      <c r="AA23" s="27">
        <v>100</v>
      </c>
      <c r="AB23" s="27">
        <v>80</v>
      </c>
      <c r="AC23" s="27">
        <v>100</v>
      </c>
      <c r="AD23" s="27">
        <v>100</v>
      </c>
      <c r="AE23" s="27">
        <v>100</v>
      </c>
      <c r="AF23" s="27">
        <v>85</v>
      </c>
      <c r="AG23" s="28">
        <f t="shared" si="2"/>
        <v>91.875</v>
      </c>
      <c r="AH23" s="22">
        <f t="shared" ref="AH23:AO23" si="34">(AS23+BA23)/2</f>
        <v>87.5</v>
      </c>
      <c r="AI23" s="22">
        <f t="shared" si="34"/>
        <v>85.5</v>
      </c>
      <c r="AJ23" s="22">
        <f t="shared" si="34"/>
        <v>83</v>
      </c>
      <c r="AK23" s="22">
        <f t="shared" si="34"/>
        <v>83.5</v>
      </c>
      <c r="AL23" s="22">
        <f t="shared" si="34"/>
        <v>83.5</v>
      </c>
      <c r="AM23" s="22">
        <f t="shared" si="34"/>
        <v>42.5</v>
      </c>
      <c r="AN23" s="22">
        <f t="shared" si="34"/>
        <v>81.5</v>
      </c>
      <c r="AO23" s="22">
        <f t="shared" si="34"/>
        <v>83.5</v>
      </c>
      <c r="AP23" s="30">
        <f t="shared" si="4"/>
        <v>90.071428571428569</v>
      </c>
      <c r="AQ23" s="31">
        <v>86</v>
      </c>
      <c r="AR23" s="32">
        <f>(Kontrak!$B$6*M23)+(Kontrak!$B$4*X23)+(Kontrak!$B$2*AG23)+(Kontrak!$B$3*AP23)+(Kontrak!$B$5*AQ23)</f>
        <v>80.196428571428569</v>
      </c>
      <c r="AS23" s="33">
        <v>84</v>
      </c>
      <c r="AT23" s="33">
        <v>80</v>
      </c>
      <c r="AU23" s="33">
        <v>85</v>
      </c>
      <c r="AV23" s="33">
        <v>86</v>
      </c>
      <c r="AW23" s="33">
        <v>86</v>
      </c>
      <c r="AX23" s="33">
        <v>85</v>
      </c>
      <c r="AY23" s="33">
        <v>82</v>
      </c>
      <c r="AZ23" s="33">
        <v>86</v>
      </c>
      <c r="BA23" s="33">
        <v>91</v>
      </c>
      <c r="BB23" s="33">
        <v>91</v>
      </c>
      <c r="BC23" s="33">
        <v>81</v>
      </c>
      <c r="BD23" s="33">
        <v>81</v>
      </c>
      <c r="BE23" s="33">
        <v>81</v>
      </c>
      <c r="BF23" s="33"/>
      <c r="BG23" s="33">
        <v>81</v>
      </c>
      <c r="BH23" s="33">
        <v>81</v>
      </c>
    </row>
    <row r="24" spans="1:60" ht="15.75" customHeight="1" x14ac:dyDescent="0.3">
      <c r="A24" s="24">
        <v>60200125146</v>
      </c>
      <c r="B24" s="34" t="s">
        <v>74</v>
      </c>
      <c r="C24" s="17">
        <v>1</v>
      </c>
      <c r="D24" s="17">
        <v>1</v>
      </c>
      <c r="E24" s="17">
        <v>1</v>
      </c>
      <c r="F24" s="17">
        <f t="shared" ref="F24:J24" si="35">IF(AB24&gt;0,1,0)</f>
        <v>1</v>
      </c>
      <c r="G24" s="17">
        <f t="shared" si="35"/>
        <v>1</v>
      </c>
      <c r="H24" s="17">
        <f t="shared" si="35"/>
        <v>1</v>
      </c>
      <c r="I24" s="17">
        <f t="shared" si="35"/>
        <v>0</v>
      </c>
      <c r="J24" s="17">
        <f t="shared" si="35"/>
        <v>0</v>
      </c>
      <c r="K24" s="17"/>
      <c r="L24" s="17"/>
      <c r="M24" s="21">
        <v>80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6">
        <f t="shared" si="1"/>
        <v>0</v>
      </c>
      <c r="Y24" s="27">
        <v>80</v>
      </c>
      <c r="Z24" s="27">
        <v>0</v>
      </c>
      <c r="AA24" s="27">
        <v>0</v>
      </c>
      <c r="AB24" s="27">
        <v>80</v>
      </c>
      <c r="AC24" s="27">
        <v>67</v>
      </c>
      <c r="AD24" s="27">
        <v>100</v>
      </c>
      <c r="AE24" s="27">
        <v>0</v>
      </c>
      <c r="AF24" s="27">
        <v>0</v>
      </c>
      <c r="AG24" s="28">
        <f t="shared" si="2"/>
        <v>40.875</v>
      </c>
      <c r="AH24" s="27" t="s">
        <v>35</v>
      </c>
      <c r="AI24" s="22" t="s">
        <v>35</v>
      </c>
      <c r="AJ24" s="22">
        <f t="shared" ref="AJ24:AO24" si="36">(AU24+BC24)/2</f>
        <v>42.5</v>
      </c>
      <c r="AK24" s="22">
        <f t="shared" si="36"/>
        <v>39</v>
      </c>
      <c r="AL24" s="22">
        <f t="shared" si="36"/>
        <v>42.5</v>
      </c>
      <c r="AM24" s="22">
        <f t="shared" si="36"/>
        <v>42.5</v>
      </c>
      <c r="AN24" s="22">
        <f t="shared" si="36"/>
        <v>39</v>
      </c>
      <c r="AO24" s="22">
        <f t="shared" si="36"/>
        <v>39</v>
      </c>
      <c r="AP24" s="30">
        <f t="shared" si="4"/>
        <v>34.928571428571431</v>
      </c>
      <c r="AQ24" s="31">
        <v>86</v>
      </c>
      <c r="AR24" s="32">
        <v>80</v>
      </c>
      <c r="AS24" s="33"/>
      <c r="AT24" s="33"/>
      <c r="AU24" s="33">
        <v>85</v>
      </c>
      <c r="AV24" s="33">
        <v>78</v>
      </c>
      <c r="AW24" s="33">
        <v>85</v>
      </c>
      <c r="AX24" s="33">
        <v>85</v>
      </c>
      <c r="AY24" s="33">
        <v>78</v>
      </c>
      <c r="AZ24" s="33">
        <v>78</v>
      </c>
      <c r="BA24" s="33"/>
      <c r="BB24" s="33"/>
      <c r="BC24" s="33"/>
      <c r="BD24" s="33"/>
      <c r="BE24" s="33"/>
      <c r="BF24" s="33"/>
      <c r="BG24" s="33"/>
      <c r="BH24" s="33"/>
    </row>
    <row r="25" spans="1:60" ht="15.75" customHeight="1" x14ac:dyDescent="0.3">
      <c r="A25" s="24">
        <v>60200125148</v>
      </c>
      <c r="B25" s="34" t="s">
        <v>76</v>
      </c>
      <c r="C25" s="17">
        <v>1</v>
      </c>
      <c r="D25" s="17">
        <v>1</v>
      </c>
      <c r="E25" s="17">
        <v>1</v>
      </c>
      <c r="F25" s="17">
        <f t="shared" ref="F25:J25" si="37">IF(AB25&gt;0,1,0)</f>
        <v>1</v>
      </c>
      <c r="G25" s="17">
        <f t="shared" si="37"/>
        <v>1</v>
      </c>
      <c r="H25" s="17">
        <f t="shared" si="37"/>
        <v>1</v>
      </c>
      <c r="I25" s="17">
        <f t="shared" si="37"/>
        <v>1</v>
      </c>
      <c r="J25" s="17">
        <f t="shared" si="37"/>
        <v>1</v>
      </c>
      <c r="K25" s="17"/>
      <c r="L25" s="17"/>
      <c r="M25" s="21">
        <v>80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6">
        <f t="shared" si="1"/>
        <v>0</v>
      </c>
      <c r="Y25" s="27">
        <v>100</v>
      </c>
      <c r="Z25" s="27">
        <v>85</v>
      </c>
      <c r="AA25" s="27">
        <v>80</v>
      </c>
      <c r="AB25" s="27">
        <v>80</v>
      </c>
      <c r="AC25" s="27">
        <v>100</v>
      </c>
      <c r="AD25" s="27">
        <v>100</v>
      </c>
      <c r="AE25" s="27">
        <v>100</v>
      </c>
      <c r="AF25" s="27">
        <v>86</v>
      </c>
      <c r="AG25" s="28">
        <f t="shared" si="2"/>
        <v>91.375</v>
      </c>
      <c r="AH25" s="22" t="s">
        <v>26</v>
      </c>
      <c r="AI25" s="22">
        <v>89</v>
      </c>
      <c r="AJ25" s="22" t="s">
        <v>28</v>
      </c>
      <c r="AK25" s="22" t="s">
        <v>36</v>
      </c>
      <c r="AL25" s="22" t="s">
        <v>36</v>
      </c>
      <c r="AM25" s="22" t="s">
        <v>27</v>
      </c>
      <c r="AN25" s="22">
        <f t="shared" ref="AN25:AO25" si="38">(AY25+BG25)/2</f>
        <v>84.5</v>
      </c>
      <c r="AO25" s="22">
        <f t="shared" si="38"/>
        <v>83</v>
      </c>
      <c r="AP25" s="30">
        <f t="shared" si="4"/>
        <v>36.642857142857146</v>
      </c>
      <c r="AQ25" s="31">
        <f>IFERROR(VLOOKUP(A25, PENILAIAN_UAS!A20:B129, 2, FALSE), "NULL")</f>
        <v>91</v>
      </c>
      <c r="AR25" s="32">
        <v>80</v>
      </c>
      <c r="AS25" s="33"/>
      <c r="AT25" s="33"/>
      <c r="AU25" s="33"/>
      <c r="AV25" s="33"/>
      <c r="AW25" s="33"/>
      <c r="AX25" s="33"/>
      <c r="AY25" s="33">
        <v>86</v>
      </c>
      <c r="AZ25" s="33">
        <v>83</v>
      </c>
      <c r="BA25" s="33">
        <v>83</v>
      </c>
      <c r="BB25" s="33"/>
      <c r="BC25" s="33"/>
      <c r="BD25" s="33"/>
      <c r="BE25" s="33"/>
      <c r="BF25" s="33"/>
      <c r="BG25" s="33">
        <v>83</v>
      </c>
      <c r="BH25" s="33">
        <v>83</v>
      </c>
    </row>
    <row r="26" spans="1:60" ht="15.75" customHeight="1" x14ac:dyDescent="0.3">
      <c r="A26" s="29">
        <v>60200125149</v>
      </c>
      <c r="B26" s="34" t="s">
        <v>78</v>
      </c>
      <c r="C26" s="17">
        <v>1</v>
      </c>
      <c r="D26" s="17">
        <v>1</v>
      </c>
      <c r="E26" s="17">
        <v>1</v>
      </c>
      <c r="F26" s="17">
        <f t="shared" ref="F26:J26" si="39">IF(AB26&gt;0,1,0)</f>
        <v>1</v>
      </c>
      <c r="G26" s="17">
        <f t="shared" si="39"/>
        <v>1</v>
      </c>
      <c r="H26" s="17">
        <f t="shared" si="39"/>
        <v>1</v>
      </c>
      <c r="I26" s="17">
        <f t="shared" si="39"/>
        <v>1</v>
      </c>
      <c r="J26" s="17">
        <f t="shared" si="39"/>
        <v>1</v>
      </c>
      <c r="K26" s="17"/>
      <c r="L26" s="17"/>
      <c r="M26" s="21">
        <v>80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6">
        <f t="shared" si="1"/>
        <v>0</v>
      </c>
      <c r="Y26" s="27">
        <v>83</v>
      </c>
      <c r="Z26" s="27">
        <v>100</v>
      </c>
      <c r="AA26" s="27">
        <v>86</v>
      </c>
      <c r="AB26" s="27">
        <v>100</v>
      </c>
      <c r="AC26" s="27">
        <v>80</v>
      </c>
      <c r="AD26" s="27">
        <v>85</v>
      </c>
      <c r="AE26" s="27">
        <v>82</v>
      </c>
      <c r="AF26" s="27">
        <v>100</v>
      </c>
      <c r="AG26" s="28">
        <f t="shared" si="2"/>
        <v>89.5</v>
      </c>
      <c r="AH26" s="22">
        <v>80</v>
      </c>
      <c r="AI26" s="22">
        <f t="shared" ref="AI26:AO26" si="40">(AT26+BB26)/2</f>
        <v>42.5</v>
      </c>
      <c r="AJ26" s="22">
        <f t="shared" si="40"/>
        <v>87</v>
      </c>
      <c r="AK26" s="22">
        <f t="shared" si="40"/>
        <v>43.5</v>
      </c>
      <c r="AL26" s="22">
        <f t="shared" si="40"/>
        <v>40</v>
      </c>
      <c r="AM26" s="22">
        <f t="shared" si="40"/>
        <v>43</v>
      </c>
      <c r="AN26" s="22">
        <f t="shared" si="40"/>
        <v>83.5</v>
      </c>
      <c r="AO26" s="22">
        <f t="shared" si="40"/>
        <v>81.5</v>
      </c>
      <c r="AP26" s="30">
        <f t="shared" si="4"/>
        <v>71.571428571428569</v>
      </c>
      <c r="AQ26" s="31">
        <v>86</v>
      </c>
      <c r="AR26" s="32">
        <v>80</v>
      </c>
      <c r="AS26" s="33">
        <v>80</v>
      </c>
      <c r="AT26" s="33">
        <v>85</v>
      </c>
      <c r="AU26" s="33">
        <v>83</v>
      </c>
      <c r="AV26" s="33">
        <v>87</v>
      </c>
      <c r="AW26" s="33">
        <v>80</v>
      </c>
      <c r="AX26" s="33">
        <v>86</v>
      </c>
      <c r="AY26" s="33">
        <v>86</v>
      </c>
      <c r="AZ26" s="33">
        <v>82</v>
      </c>
      <c r="BA26" s="33"/>
      <c r="BB26" s="33"/>
      <c r="BC26" s="33">
        <v>91</v>
      </c>
      <c r="BD26" s="33"/>
      <c r="BE26" s="33"/>
      <c r="BF26" s="33"/>
      <c r="BG26" s="33">
        <v>81</v>
      </c>
      <c r="BH26" s="33">
        <v>81</v>
      </c>
    </row>
    <row r="27" spans="1:60" ht="13.8" x14ac:dyDescent="0.3">
      <c r="A27" s="14">
        <v>60200125150</v>
      </c>
      <c r="B27" s="34" t="s">
        <v>80</v>
      </c>
      <c r="C27" s="17">
        <v>1</v>
      </c>
      <c r="D27" s="17">
        <v>1</v>
      </c>
      <c r="E27" s="17">
        <v>1</v>
      </c>
      <c r="F27" s="17">
        <f t="shared" ref="F27:J27" si="41">IF(AB27&gt;0,1,0)</f>
        <v>1</v>
      </c>
      <c r="G27" s="17">
        <f t="shared" si="41"/>
        <v>1</v>
      </c>
      <c r="H27" s="17">
        <f t="shared" si="41"/>
        <v>1</v>
      </c>
      <c r="I27" s="17">
        <f t="shared" si="41"/>
        <v>1</v>
      </c>
      <c r="J27" s="17">
        <f t="shared" si="41"/>
        <v>0</v>
      </c>
      <c r="K27" s="17"/>
      <c r="L27" s="17"/>
      <c r="M27" s="21">
        <v>80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6">
        <f t="shared" si="1"/>
        <v>0</v>
      </c>
      <c r="Y27" s="27">
        <v>100</v>
      </c>
      <c r="Z27" s="27">
        <v>81</v>
      </c>
      <c r="AA27" s="27">
        <v>80</v>
      </c>
      <c r="AB27" s="27">
        <v>75</v>
      </c>
      <c r="AC27" s="27">
        <v>100</v>
      </c>
      <c r="AD27" s="27">
        <v>100</v>
      </c>
      <c r="AE27" s="27">
        <v>86</v>
      </c>
      <c r="AF27" s="27">
        <v>0</v>
      </c>
      <c r="AG27" s="28">
        <f t="shared" si="2"/>
        <v>77.75</v>
      </c>
      <c r="AH27" s="22">
        <f t="shared" ref="AH27:AO27" si="42">(AS27+BA27)/2</f>
        <v>87.5</v>
      </c>
      <c r="AI27" s="22">
        <f t="shared" si="42"/>
        <v>85.5</v>
      </c>
      <c r="AJ27" s="22">
        <f t="shared" si="42"/>
        <v>42.5</v>
      </c>
      <c r="AK27" s="22">
        <f t="shared" si="42"/>
        <v>43</v>
      </c>
      <c r="AL27" s="22">
        <f t="shared" si="42"/>
        <v>43</v>
      </c>
      <c r="AM27" s="22">
        <f t="shared" si="42"/>
        <v>42.5</v>
      </c>
      <c r="AN27" s="22">
        <f t="shared" si="42"/>
        <v>41</v>
      </c>
      <c r="AO27" s="22">
        <f t="shared" si="42"/>
        <v>43</v>
      </c>
      <c r="AP27" s="30">
        <f t="shared" si="4"/>
        <v>61.142857142857146</v>
      </c>
      <c r="AQ27" s="31">
        <f>IFERROR(VLOOKUP(A27, PENILAIAN_UAS!A22:B131, 2, FALSE), "NULL")</f>
        <v>91</v>
      </c>
      <c r="AR27" s="32">
        <v>80</v>
      </c>
      <c r="AS27" s="33">
        <v>84</v>
      </c>
      <c r="AT27" s="33">
        <v>80</v>
      </c>
      <c r="AU27" s="33">
        <v>85</v>
      </c>
      <c r="AV27" s="33">
        <v>86</v>
      </c>
      <c r="AW27" s="33">
        <v>86</v>
      </c>
      <c r="AX27" s="33">
        <v>85</v>
      </c>
      <c r="AY27" s="33">
        <v>82</v>
      </c>
      <c r="AZ27" s="33">
        <v>86</v>
      </c>
      <c r="BA27" s="33">
        <v>91</v>
      </c>
      <c r="BB27" s="33">
        <v>91</v>
      </c>
      <c r="BC27" s="33"/>
      <c r="BD27" s="33"/>
      <c r="BE27" s="33"/>
      <c r="BF27" s="33"/>
      <c r="BG27" s="33"/>
      <c r="BH27" s="33"/>
    </row>
    <row r="28" spans="1:60" ht="13.8" x14ac:dyDescent="0.3"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</row>
    <row r="29" spans="1:60" ht="13.8" x14ac:dyDescent="0.3"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</row>
    <row r="30" spans="1:60" ht="13.8" x14ac:dyDescent="0.3"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</row>
    <row r="31" spans="1:60" ht="13.8" x14ac:dyDescent="0.3"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</row>
    <row r="32" spans="1:60" ht="13.8" x14ac:dyDescent="0.3"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</row>
    <row r="33" spans="45:60" ht="13.8" x14ac:dyDescent="0.3"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</row>
    <row r="34" spans="45:60" ht="13.8" x14ac:dyDescent="0.3"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</row>
    <row r="35" spans="45:60" ht="13.8" x14ac:dyDescent="0.3"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</row>
    <row r="36" spans="45:60" ht="13.8" x14ac:dyDescent="0.3"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</row>
    <row r="37" spans="45:60" ht="13.8" x14ac:dyDescent="0.3"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</row>
    <row r="38" spans="45:60" ht="13.8" x14ac:dyDescent="0.3"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</row>
    <row r="39" spans="45:60" ht="13.8" x14ac:dyDescent="0.3"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</row>
    <row r="40" spans="45:60" ht="13.8" x14ac:dyDescent="0.3"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</row>
  </sheetData>
  <mergeCells count="15">
    <mergeCell ref="AR5:AR6"/>
    <mergeCell ref="AS5:AZ5"/>
    <mergeCell ref="BA5:BH5"/>
    <mergeCell ref="A1:B4"/>
    <mergeCell ref="A5:A6"/>
    <mergeCell ref="B5:B6"/>
    <mergeCell ref="C5:L5"/>
    <mergeCell ref="M5:M6"/>
    <mergeCell ref="N5:W5"/>
    <mergeCell ref="X5:X6"/>
    <mergeCell ref="Y5:AF5"/>
    <mergeCell ref="AG5:AG6"/>
    <mergeCell ref="AH5:AO5"/>
    <mergeCell ref="AP5:AP6"/>
    <mergeCell ref="AQ5:AQ6"/>
  </mergeCells>
  <conditionalFormatting sqref="AH7:AH23 C7:L27 N7:W27 AI7:AO27 AH25:AH27">
    <cfRule type="containsBlanks" dxfId="0" priority="1">
      <formula>LEN(TRIM(C7))=0</formula>
    </cfRule>
  </conditionalFormatting>
  <printOptions horizontalCentered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11"/>
  <sheetViews>
    <sheetView tabSelected="1" workbookViewId="0">
      <selection activeCell="E22" sqref="E22"/>
    </sheetView>
  </sheetViews>
  <sheetFormatPr defaultColWidth="12.6640625" defaultRowHeight="15.75" customHeight="1" x14ac:dyDescent="0.25"/>
  <sheetData>
    <row r="1" spans="1:4" ht="13.2" x14ac:dyDescent="0.25">
      <c r="A1" s="13" t="s">
        <v>9</v>
      </c>
      <c r="B1" s="13" t="s">
        <v>20</v>
      </c>
      <c r="C1" s="13" t="s">
        <v>21</v>
      </c>
      <c r="D1" s="13" t="s">
        <v>22</v>
      </c>
    </row>
    <row r="2" spans="1:4" ht="15.75" customHeight="1" x14ac:dyDescent="0.3">
      <c r="A2" s="14">
        <v>60200125002</v>
      </c>
      <c r="B2" s="18">
        <f t="shared" ref="B2:B111" si="0">INT(ROUND(0.3*D2 + 0.7*C2,0))</f>
        <v>0</v>
      </c>
      <c r="C2" s="19"/>
      <c r="D2" s="19"/>
    </row>
    <row r="3" spans="1:4" ht="15.75" customHeight="1" x14ac:dyDescent="0.3">
      <c r="A3" s="20">
        <v>60200125008</v>
      </c>
      <c r="B3" s="18">
        <f t="shared" si="0"/>
        <v>0</v>
      </c>
    </row>
    <row r="4" spans="1:4" ht="15.75" customHeight="1" x14ac:dyDescent="0.3">
      <c r="A4" s="14">
        <v>60200125009</v>
      </c>
      <c r="B4" s="18">
        <f t="shared" si="0"/>
        <v>84</v>
      </c>
      <c r="C4" s="18">
        <v>85</v>
      </c>
      <c r="D4" s="18">
        <v>81</v>
      </c>
    </row>
    <row r="5" spans="1:4" ht="15.75" customHeight="1" x14ac:dyDescent="0.3">
      <c r="A5" s="23">
        <v>60200125019</v>
      </c>
      <c r="B5" s="18">
        <f t="shared" si="0"/>
        <v>87</v>
      </c>
      <c r="C5" s="18">
        <v>88</v>
      </c>
      <c r="D5" s="18">
        <v>84</v>
      </c>
    </row>
    <row r="6" spans="1:4" ht="15.75" customHeight="1" x14ac:dyDescent="0.3">
      <c r="A6" s="24">
        <v>60200125020</v>
      </c>
      <c r="B6" s="18">
        <f t="shared" si="0"/>
        <v>89</v>
      </c>
      <c r="C6" s="18">
        <v>90</v>
      </c>
      <c r="D6" s="18">
        <v>85</v>
      </c>
    </row>
    <row r="7" spans="1:4" ht="15.75" customHeight="1" x14ac:dyDescent="0.3">
      <c r="A7" s="25">
        <v>60200125021</v>
      </c>
      <c r="B7" s="18">
        <f t="shared" si="0"/>
        <v>84</v>
      </c>
      <c r="C7" s="18">
        <v>85</v>
      </c>
      <c r="D7" s="18">
        <v>82</v>
      </c>
    </row>
    <row r="8" spans="1:4" ht="15.75" customHeight="1" x14ac:dyDescent="0.3">
      <c r="A8" s="25">
        <v>60200125035</v>
      </c>
      <c r="B8" s="18">
        <f t="shared" si="0"/>
        <v>91</v>
      </c>
      <c r="C8" s="18">
        <v>95</v>
      </c>
      <c r="D8" s="18">
        <v>81</v>
      </c>
    </row>
    <row r="9" spans="1:4" ht="15.75" customHeight="1" x14ac:dyDescent="0.3">
      <c r="A9" s="20">
        <v>60200125036</v>
      </c>
      <c r="B9" s="18">
        <f t="shared" si="0"/>
        <v>0</v>
      </c>
    </row>
    <row r="10" spans="1:4" ht="15.75" customHeight="1" x14ac:dyDescent="0.3">
      <c r="A10" s="24">
        <v>60200125048</v>
      </c>
      <c r="B10" s="18">
        <f t="shared" si="0"/>
        <v>87</v>
      </c>
      <c r="C10" s="18">
        <v>88</v>
      </c>
      <c r="D10" s="18">
        <v>85</v>
      </c>
    </row>
    <row r="11" spans="1:4" ht="15.75" customHeight="1" x14ac:dyDescent="0.3">
      <c r="A11" s="24">
        <v>60200125054</v>
      </c>
      <c r="B11" s="18">
        <f t="shared" si="0"/>
        <v>87</v>
      </c>
      <c r="C11" s="18">
        <v>88</v>
      </c>
      <c r="D11" s="18">
        <v>83</v>
      </c>
    </row>
    <row r="12" spans="1:4" ht="15.75" customHeight="1" x14ac:dyDescent="0.3">
      <c r="A12" s="20">
        <v>60200125055</v>
      </c>
      <c r="B12" s="18">
        <f t="shared" si="0"/>
        <v>85</v>
      </c>
      <c r="C12" s="18">
        <v>85</v>
      </c>
      <c r="D12" s="18">
        <v>85</v>
      </c>
    </row>
    <row r="13" spans="1:4" ht="15.75" customHeight="1" x14ac:dyDescent="0.3">
      <c r="A13" s="20">
        <v>60200125056</v>
      </c>
      <c r="B13" s="18">
        <f t="shared" si="0"/>
        <v>91</v>
      </c>
      <c r="C13" s="18">
        <v>95</v>
      </c>
      <c r="D13" s="18">
        <v>83</v>
      </c>
    </row>
    <row r="14" spans="1:4" ht="15.75" customHeight="1" x14ac:dyDescent="0.3">
      <c r="A14" s="24">
        <v>60200125057</v>
      </c>
      <c r="B14" s="18">
        <f t="shared" si="0"/>
        <v>84</v>
      </c>
      <c r="C14" s="18">
        <v>85</v>
      </c>
      <c r="D14" s="18">
        <v>83</v>
      </c>
    </row>
    <row r="15" spans="1:4" ht="15.75" customHeight="1" x14ac:dyDescent="0.3">
      <c r="A15" s="20">
        <v>60200125058</v>
      </c>
      <c r="B15" s="18">
        <f t="shared" si="0"/>
        <v>81</v>
      </c>
      <c r="C15" s="18">
        <v>80</v>
      </c>
      <c r="D15" s="18">
        <v>82</v>
      </c>
    </row>
    <row r="16" spans="1:4" ht="15.75" customHeight="1" x14ac:dyDescent="0.3">
      <c r="A16" s="29">
        <v>60200125072</v>
      </c>
      <c r="B16" s="18">
        <f t="shared" si="0"/>
        <v>92</v>
      </c>
      <c r="C16" s="18">
        <v>95</v>
      </c>
      <c r="D16" s="18">
        <v>84</v>
      </c>
    </row>
    <row r="17" spans="1:4" ht="15.75" customHeight="1" x14ac:dyDescent="0.3">
      <c r="A17" s="20">
        <v>60200125079</v>
      </c>
      <c r="B17" s="18">
        <f t="shared" si="0"/>
        <v>84</v>
      </c>
      <c r="C17" s="18">
        <v>85</v>
      </c>
      <c r="D17" s="18">
        <v>81</v>
      </c>
    </row>
    <row r="18" spans="1:4" ht="15.75" customHeight="1" x14ac:dyDescent="0.3">
      <c r="A18" s="24">
        <v>60200125080</v>
      </c>
      <c r="B18" s="18">
        <f t="shared" si="0"/>
        <v>0</v>
      </c>
    </row>
    <row r="19" spans="1:4" ht="15.75" customHeight="1" x14ac:dyDescent="0.3">
      <c r="A19" s="24">
        <v>60200125081</v>
      </c>
      <c r="B19" s="18">
        <f t="shared" si="0"/>
        <v>0</v>
      </c>
    </row>
    <row r="20" spans="1:4" ht="15.75" customHeight="1" x14ac:dyDescent="0.3">
      <c r="A20" s="24">
        <v>60200125094</v>
      </c>
      <c r="B20" s="18">
        <f t="shared" si="0"/>
        <v>92</v>
      </c>
      <c r="C20" s="18">
        <v>95</v>
      </c>
      <c r="D20" s="18">
        <v>85</v>
      </c>
    </row>
    <row r="21" spans="1:4" ht="15.75" customHeight="1" x14ac:dyDescent="0.3">
      <c r="A21" s="29">
        <v>60200125096</v>
      </c>
      <c r="B21" s="18">
        <f t="shared" si="0"/>
        <v>91</v>
      </c>
      <c r="C21" s="18">
        <v>95</v>
      </c>
      <c r="D21" s="18">
        <v>81</v>
      </c>
    </row>
    <row r="22" spans="1:4" ht="15.75" customHeight="1" x14ac:dyDescent="0.3">
      <c r="A22" s="14">
        <v>60200125102</v>
      </c>
      <c r="B22" s="18">
        <f t="shared" si="0"/>
        <v>0</v>
      </c>
    </row>
    <row r="23" spans="1:4" ht="15.75" customHeight="1" x14ac:dyDescent="0.3">
      <c r="A23" s="24">
        <v>60200125103</v>
      </c>
      <c r="B23" s="18">
        <f t="shared" si="0"/>
        <v>84</v>
      </c>
      <c r="C23" s="18">
        <v>85</v>
      </c>
      <c r="D23" s="18">
        <v>81</v>
      </c>
    </row>
    <row r="24" spans="1:4" ht="15.75" customHeight="1" x14ac:dyDescent="0.3">
      <c r="A24" s="24">
        <v>60200125104</v>
      </c>
      <c r="B24" s="18">
        <f t="shared" si="0"/>
        <v>91</v>
      </c>
      <c r="C24" s="18">
        <v>95</v>
      </c>
      <c r="D24" s="18">
        <v>80</v>
      </c>
    </row>
    <row r="25" spans="1:4" ht="15.75" customHeight="1" x14ac:dyDescent="0.3">
      <c r="A25" s="29">
        <v>60200125113</v>
      </c>
      <c r="B25" s="18">
        <f t="shared" si="0"/>
        <v>86</v>
      </c>
      <c r="C25" s="18">
        <v>87</v>
      </c>
      <c r="D25" s="18">
        <v>82</v>
      </c>
    </row>
    <row r="26" spans="1:4" ht="15.75" customHeight="1" x14ac:dyDescent="0.3">
      <c r="A26" s="23">
        <v>60200125115</v>
      </c>
      <c r="B26" s="18">
        <f t="shared" si="0"/>
        <v>81</v>
      </c>
      <c r="C26" s="18">
        <v>80</v>
      </c>
      <c r="D26" s="18">
        <v>82</v>
      </c>
    </row>
    <row r="27" spans="1:4" ht="13.8" x14ac:dyDescent="0.3">
      <c r="A27" s="29">
        <v>60200125123</v>
      </c>
      <c r="B27" s="18">
        <f t="shared" si="0"/>
        <v>85</v>
      </c>
      <c r="C27" s="18">
        <v>87</v>
      </c>
      <c r="D27" s="18">
        <v>80</v>
      </c>
    </row>
    <row r="28" spans="1:4" ht="13.8" x14ac:dyDescent="0.3">
      <c r="A28" s="14">
        <v>60200125124</v>
      </c>
      <c r="B28" s="18">
        <f t="shared" si="0"/>
        <v>86</v>
      </c>
      <c r="C28" s="18">
        <v>88</v>
      </c>
      <c r="D28" s="18">
        <v>80</v>
      </c>
    </row>
    <row r="29" spans="1:4" ht="13.8" x14ac:dyDescent="0.3">
      <c r="A29" s="29">
        <v>60200125125</v>
      </c>
      <c r="B29" s="18">
        <f t="shared" si="0"/>
        <v>0</v>
      </c>
    </row>
    <row r="30" spans="1:4" ht="13.8" x14ac:dyDescent="0.3">
      <c r="A30" s="29">
        <v>60200125126</v>
      </c>
      <c r="B30" s="18">
        <f t="shared" si="0"/>
        <v>86</v>
      </c>
      <c r="C30" s="18">
        <v>88</v>
      </c>
      <c r="D30" s="18">
        <v>81</v>
      </c>
    </row>
    <row r="31" spans="1:4" ht="13.8" x14ac:dyDescent="0.3">
      <c r="A31" s="29">
        <v>60200125127</v>
      </c>
      <c r="B31" s="18">
        <f t="shared" si="0"/>
        <v>0</v>
      </c>
    </row>
    <row r="32" spans="1:4" ht="13.8" x14ac:dyDescent="0.3">
      <c r="A32" s="29">
        <v>60200125128</v>
      </c>
      <c r="B32" s="18">
        <f t="shared" si="0"/>
        <v>81</v>
      </c>
      <c r="C32" s="18">
        <v>80</v>
      </c>
      <c r="D32" s="18">
        <v>84</v>
      </c>
    </row>
    <row r="33" spans="1:4" ht="13.8" x14ac:dyDescent="0.3">
      <c r="A33" s="29">
        <v>60200125129</v>
      </c>
      <c r="B33" s="18">
        <f t="shared" si="0"/>
        <v>86</v>
      </c>
      <c r="C33" s="18">
        <v>87</v>
      </c>
      <c r="D33" s="18">
        <v>82</v>
      </c>
    </row>
    <row r="34" spans="1:4" ht="13.8" x14ac:dyDescent="0.3">
      <c r="A34" s="29">
        <v>60200125153</v>
      </c>
      <c r="B34" s="18">
        <f t="shared" si="0"/>
        <v>0</v>
      </c>
    </row>
    <row r="35" spans="1:4" ht="13.8" x14ac:dyDescent="0.3">
      <c r="A35" s="29">
        <v>60200125155</v>
      </c>
      <c r="B35" s="18">
        <f t="shared" si="0"/>
        <v>88</v>
      </c>
      <c r="C35" s="18">
        <v>90</v>
      </c>
      <c r="D35" s="18">
        <v>83</v>
      </c>
    </row>
    <row r="36" spans="1:4" ht="13.8" x14ac:dyDescent="0.3">
      <c r="A36" s="14">
        <v>60200123102</v>
      </c>
      <c r="B36" s="18">
        <f t="shared" si="0"/>
        <v>0</v>
      </c>
    </row>
    <row r="37" spans="1:4" ht="13.8" x14ac:dyDescent="0.3">
      <c r="A37" s="20">
        <v>60200125004</v>
      </c>
      <c r="B37" s="18">
        <f t="shared" si="0"/>
        <v>0</v>
      </c>
    </row>
    <row r="38" spans="1:4" ht="13.8" x14ac:dyDescent="0.3">
      <c r="A38" s="14">
        <v>60200125012</v>
      </c>
      <c r="B38" s="18">
        <f t="shared" si="0"/>
        <v>0</v>
      </c>
    </row>
    <row r="39" spans="1:4" ht="13.8" x14ac:dyDescent="0.3">
      <c r="A39" s="37">
        <v>60200125013</v>
      </c>
      <c r="B39" s="18">
        <f t="shared" si="0"/>
        <v>0</v>
      </c>
    </row>
    <row r="40" spans="1:4" ht="13.8" x14ac:dyDescent="0.3">
      <c r="A40" s="24">
        <v>60200125025</v>
      </c>
      <c r="B40" s="18">
        <f t="shared" si="0"/>
        <v>86</v>
      </c>
      <c r="C40" s="18">
        <v>87</v>
      </c>
      <c r="D40" s="18">
        <v>84</v>
      </c>
    </row>
    <row r="41" spans="1:4" ht="13.8" x14ac:dyDescent="0.3">
      <c r="A41" s="38">
        <v>60200125026</v>
      </c>
      <c r="B41" s="18">
        <f t="shared" si="0"/>
        <v>0</v>
      </c>
    </row>
    <row r="42" spans="1:4" ht="13.8" x14ac:dyDescent="0.3">
      <c r="A42" s="38">
        <v>60200125027</v>
      </c>
      <c r="B42" s="18">
        <f t="shared" si="0"/>
        <v>0</v>
      </c>
    </row>
    <row r="43" spans="1:4" ht="13.8" x14ac:dyDescent="0.3">
      <c r="A43" s="20">
        <v>60200125030</v>
      </c>
      <c r="B43" s="18">
        <f t="shared" si="0"/>
        <v>0</v>
      </c>
    </row>
    <row r="44" spans="1:4" ht="13.8" x14ac:dyDescent="0.3">
      <c r="A44" s="24">
        <v>60200125041</v>
      </c>
      <c r="B44" s="18">
        <f t="shared" si="0"/>
        <v>0</v>
      </c>
    </row>
    <row r="45" spans="1:4" ht="13.8" x14ac:dyDescent="0.3">
      <c r="A45" s="24">
        <v>60200125043</v>
      </c>
      <c r="B45" s="18">
        <f t="shared" si="0"/>
        <v>0</v>
      </c>
    </row>
    <row r="46" spans="1:4" ht="13.8" x14ac:dyDescent="0.3">
      <c r="A46" s="20">
        <v>60200125052</v>
      </c>
      <c r="B46" s="18">
        <f t="shared" si="0"/>
        <v>0</v>
      </c>
    </row>
    <row r="47" spans="1:4" ht="13.8" x14ac:dyDescent="0.3">
      <c r="A47" s="20">
        <v>60200125064</v>
      </c>
      <c r="B47" s="18">
        <f t="shared" si="0"/>
        <v>0</v>
      </c>
    </row>
    <row r="48" spans="1:4" ht="13.8" x14ac:dyDescent="0.3">
      <c r="A48" s="24">
        <v>60200125065</v>
      </c>
      <c r="B48" s="18">
        <f t="shared" si="0"/>
        <v>0</v>
      </c>
    </row>
    <row r="49" spans="1:2" ht="13.8" x14ac:dyDescent="0.3">
      <c r="A49" s="20">
        <v>60200125066</v>
      </c>
      <c r="B49" s="18">
        <f t="shared" si="0"/>
        <v>0</v>
      </c>
    </row>
    <row r="50" spans="1:2" ht="13.8" x14ac:dyDescent="0.3">
      <c r="A50" s="29">
        <v>60200125067</v>
      </c>
      <c r="B50" s="18">
        <f t="shared" si="0"/>
        <v>0</v>
      </c>
    </row>
    <row r="51" spans="1:2" ht="13.8" x14ac:dyDescent="0.3">
      <c r="A51" s="20">
        <v>60200125068</v>
      </c>
      <c r="B51" s="18">
        <f t="shared" si="0"/>
        <v>0</v>
      </c>
    </row>
    <row r="52" spans="1:2" ht="13.8" x14ac:dyDescent="0.3">
      <c r="A52" s="24">
        <v>60200125071</v>
      </c>
      <c r="B52" s="18">
        <f t="shared" si="0"/>
        <v>0</v>
      </c>
    </row>
    <row r="53" spans="1:2" ht="13.8" x14ac:dyDescent="0.3">
      <c r="A53" s="24">
        <v>60200125076</v>
      </c>
      <c r="B53" s="18">
        <f t="shared" si="0"/>
        <v>0</v>
      </c>
    </row>
    <row r="54" spans="1:2" ht="13.8" x14ac:dyDescent="0.3">
      <c r="A54" s="24">
        <v>60200125082</v>
      </c>
      <c r="B54" s="18">
        <f t="shared" si="0"/>
        <v>0</v>
      </c>
    </row>
    <row r="55" spans="1:2" ht="13.8" x14ac:dyDescent="0.3">
      <c r="A55" s="29">
        <v>60200125089</v>
      </c>
      <c r="B55" s="18">
        <f t="shared" si="0"/>
        <v>0</v>
      </c>
    </row>
    <row r="56" spans="1:2" ht="13.8" x14ac:dyDescent="0.3">
      <c r="A56" s="14">
        <v>60200125090</v>
      </c>
      <c r="B56" s="18">
        <f t="shared" si="0"/>
        <v>0</v>
      </c>
    </row>
    <row r="57" spans="1:2" ht="13.8" x14ac:dyDescent="0.3">
      <c r="A57" s="24">
        <v>60200125092</v>
      </c>
      <c r="B57" s="18">
        <f t="shared" si="0"/>
        <v>0</v>
      </c>
    </row>
    <row r="58" spans="1:2" ht="13.8" x14ac:dyDescent="0.3">
      <c r="A58" s="24">
        <v>60200125093</v>
      </c>
      <c r="B58" s="18">
        <f t="shared" si="0"/>
        <v>0</v>
      </c>
    </row>
    <row r="59" spans="1:2" ht="13.8" x14ac:dyDescent="0.3">
      <c r="A59" s="29">
        <v>60200125097</v>
      </c>
      <c r="B59" s="18">
        <f t="shared" si="0"/>
        <v>0</v>
      </c>
    </row>
    <row r="60" spans="1:2" ht="13.8" x14ac:dyDescent="0.3">
      <c r="A60" s="37">
        <v>60200125108</v>
      </c>
      <c r="B60" s="18">
        <f t="shared" si="0"/>
        <v>0</v>
      </c>
    </row>
    <row r="61" spans="1:2" ht="13.8" x14ac:dyDescent="0.3">
      <c r="A61" s="29">
        <v>60200125109</v>
      </c>
      <c r="B61" s="18">
        <f t="shared" si="0"/>
        <v>0</v>
      </c>
    </row>
    <row r="62" spans="1:2" ht="13.8" x14ac:dyDescent="0.3">
      <c r="A62" s="14">
        <v>60200125110</v>
      </c>
      <c r="B62" s="18">
        <f t="shared" si="0"/>
        <v>0</v>
      </c>
    </row>
    <row r="63" spans="1:2" ht="13.8" x14ac:dyDescent="0.3">
      <c r="A63" s="29">
        <v>60200125138</v>
      </c>
      <c r="B63" s="18">
        <f t="shared" si="0"/>
        <v>0</v>
      </c>
    </row>
    <row r="64" spans="1:2" ht="13.8" x14ac:dyDescent="0.3">
      <c r="A64" s="29">
        <v>60200125139</v>
      </c>
      <c r="B64" s="18">
        <f t="shared" si="0"/>
        <v>0</v>
      </c>
    </row>
    <row r="65" spans="1:4" ht="13.8" x14ac:dyDescent="0.3">
      <c r="A65" s="29">
        <v>60200125140</v>
      </c>
      <c r="B65" s="18">
        <f t="shared" si="0"/>
        <v>0</v>
      </c>
    </row>
    <row r="66" spans="1:4" ht="13.8" x14ac:dyDescent="0.3">
      <c r="A66" s="29">
        <v>60200125141</v>
      </c>
      <c r="B66" s="18">
        <f t="shared" si="0"/>
        <v>0</v>
      </c>
    </row>
    <row r="67" spans="1:4" ht="13.8" x14ac:dyDescent="0.3">
      <c r="A67" s="14">
        <v>60200125142</v>
      </c>
      <c r="B67" s="18">
        <f t="shared" si="0"/>
        <v>0</v>
      </c>
    </row>
    <row r="68" spans="1:4" ht="13.8" x14ac:dyDescent="0.3">
      <c r="A68" s="14">
        <v>60200125143</v>
      </c>
      <c r="B68" s="18">
        <f t="shared" si="0"/>
        <v>0</v>
      </c>
    </row>
    <row r="69" spans="1:4" ht="13.8" x14ac:dyDescent="0.3">
      <c r="A69" s="14">
        <v>60200125144</v>
      </c>
      <c r="B69" s="18">
        <f t="shared" si="0"/>
        <v>0</v>
      </c>
    </row>
    <row r="70" spans="1:4" ht="13.8" x14ac:dyDescent="0.3">
      <c r="A70" s="14">
        <v>60200125005</v>
      </c>
      <c r="B70" s="18">
        <f t="shared" si="0"/>
        <v>0</v>
      </c>
    </row>
    <row r="71" spans="1:4" ht="13.8" x14ac:dyDescent="0.3">
      <c r="A71" s="20">
        <v>60200125014</v>
      </c>
      <c r="B71" s="18">
        <f t="shared" si="0"/>
        <v>91</v>
      </c>
      <c r="C71" s="18">
        <v>95</v>
      </c>
      <c r="D71" s="18">
        <v>83</v>
      </c>
    </row>
    <row r="72" spans="1:4" ht="13.8" x14ac:dyDescent="0.3">
      <c r="A72" s="14">
        <v>60200125015</v>
      </c>
      <c r="B72" s="18">
        <f t="shared" si="0"/>
        <v>91</v>
      </c>
      <c r="C72" s="18">
        <v>94</v>
      </c>
      <c r="D72" s="18">
        <v>84</v>
      </c>
    </row>
    <row r="73" spans="1:4" ht="13.8" x14ac:dyDescent="0.3">
      <c r="A73" s="23">
        <v>60200125028</v>
      </c>
      <c r="B73" s="18">
        <f t="shared" si="0"/>
        <v>91</v>
      </c>
      <c r="C73" s="18">
        <v>95</v>
      </c>
      <c r="D73" s="18">
        <v>81</v>
      </c>
    </row>
    <row r="74" spans="1:4" ht="13.8" x14ac:dyDescent="0.3">
      <c r="A74" s="24">
        <v>60200125029</v>
      </c>
      <c r="B74" s="18">
        <f t="shared" si="0"/>
        <v>0</v>
      </c>
    </row>
    <row r="75" spans="1:4" ht="13.8" x14ac:dyDescent="0.3">
      <c r="A75" s="25">
        <v>60200125037</v>
      </c>
      <c r="B75" s="18">
        <f t="shared" si="0"/>
        <v>91</v>
      </c>
      <c r="C75" s="18">
        <v>95</v>
      </c>
      <c r="D75" s="18">
        <v>80</v>
      </c>
    </row>
    <row r="76" spans="1:4" ht="13.8" x14ac:dyDescent="0.3">
      <c r="A76" s="25">
        <v>60200125042</v>
      </c>
      <c r="B76" s="18">
        <f t="shared" si="0"/>
        <v>90</v>
      </c>
      <c r="C76" s="18">
        <v>94</v>
      </c>
      <c r="D76" s="18">
        <v>82</v>
      </c>
    </row>
    <row r="77" spans="1:4" ht="13.8" x14ac:dyDescent="0.3">
      <c r="A77" s="20">
        <v>60200125044</v>
      </c>
      <c r="B77" s="18">
        <f t="shared" si="0"/>
        <v>0</v>
      </c>
    </row>
    <row r="78" spans="1:4" ht="13.8" x14ac:dyDescent="0.3">
      <c r="A78" s="24">
        <v>60200125045</v>
      </c>
      <c r="B78" s="18">
        <f t="shared" si="0"/>
        <v>91</v>
      </c>
      <c r="C78" s="18">
        <v>95</v>
      </c>
      <c r="D78" s="18">
        <v>81</v>
      </c>
    </row>
    <row r="79" spans="1:4" ht="13.8" x14ac:dyDescent="0.3">
      <c r="A79" s="24">
        <v>60200125069</v>
      </c>
      <c r="B79" s="18">
        <f t="shared" si="0"/>
        <v>0</v>
      </c>
    </row>
    <row r="80" spans="1:4" ht="13.8" x14ac:dyDescent="0.3">
      <c r="A80" s="20">
        <v>60200125070</v>
      </c>
      <c r="B80" s="18">
        <f t="shared" si="0"/>
        <v>91</v>
      </c>
      <c r="C80" s="18">
        <v>94</v>
      </c>
      <c r="D80" s="18">
        <v>84</v>
      </c>
    </row>
    <row r="81" spans="1:4" ht="13.8" x14ac:dyDescent="0.3">
      <c r="A81" s="20">
        <v>60200125091</v>
      </c>
      <c r="B81" s="18">
        <f t="shared" si="0"/>
        <v>91</v>
      </c>
      <c r="C81" s="18">
        <v>95</v>
      </c>
      <c r="D81" s="18">
        <v>80</v>
      </c>
    </row>
    <row r="82" spans="1:4" ht="13.8" x14ac:dyDescent="0.3">
      <c r="A82" s="24">
        <v>60200125095</v>
      </c>
      <c r="B82" s="18">
        <f t="shared" si="0"/>
        <v>0</v>
      </c>
    </row>
    <row r="83" spans="1:4" ht="13.8" x14ac:dyDescent="0.3">
      <c r="A83" s="20">
        <v>60200125098</v>
      </c>
      <c r="B83" s="18">
        <f t="shared" si="0"/>
        <v>0</v>
      </c>
    </row>
    <row r="84" spans="1:4" ht="13.8" x14ac:dyDescent="0.3">
      <c r="A84" s="29">
        <v>60200125111</v>
      </c>
      <c r="B84" s="18">
        <f t="shared" si="0"/>
        <v>0</v>
      </c>
    </row>
    <row r="85" spans="1:4" ht="13.8" x14ac:dyDescent="0.3">
      <c r="A85" s="20">
        <v>60200125112</v>
      </c>
      <c r="B85" s="18">
        <f t="shared" si="0"/>
        <v>0</v>
      </c>
    </row>
    <row r="86" spans="1:4" ht="13.8" x14ac:dyDescent="0.3">
      <c r="A86" s="24">
        <v>60200125145</v>
      </c>
      <c r="B86" s="18">
        <f t="shared" si="0"/>
        <v>0</v>
      </c>
    </row>
    <row r="87" spans="1:4" ht="13.8" x14ac:dyDescent="0.3">
      <c r="A87" s="24">
        <v>60200125146</v>
      </c>
      <c r="B87" s="18">
        <f t="shared" si="0"/>
        <v>0</v>
      </c>
    </row>
    <row r="88" spans="1:4" ht="13.8" x14ac:dyDescent="0.3">
      <c r="A88" s="24">
        <v>60200125148</v>
      </c>
      <c r="B88" s="18">
        <f t="shared" si="0"/>
        <v>91</v>
      </c>
      <c r="C88" s="18">
        <v>95</v>
      </c>
      <c r="D88" s="18">
        <v>83</v>
      </c>
    </row>
    <row r="89" spans="1:4" ht="13.8" x14ac:dyDescent="0.3">
      <c r="A89" s="29">
        <v>60200125149</v>
      </c>
      <c r="B89" s="18">
        <f t="shared" si="0"/>
        <v>0</v>
      </c>
    </row>
    <row r="90" spans="1:4" ht="13.8" x14ac:dyDescent="0.3">
      <c r="A90" s="14">
        <v>60200125150</v>
      </c>
      <c r="B90" s="18">
        <f t="shared" si="0"/>
        <v>91</v>
      </c>
      <c r="C90" s="18">
        <v>94</v>
      </c>
      <c r="D90" s="18">
        <v>83</v>
      </c>
    </row>
    <row r="91" spans="1:4" ht="13.8" x14ac:dyDescent="0.3">
      <c r="A91" s="14">
        <v>60200125005</v>
      </c>
      <c r="B91" s="18">
        <f t="shared" si="0"/>
        <v>0</v>
      </c>
    </row>
    <row r="92" spans="1:4" ht="13.8" x14ac:dyDescent="0.3">
      <c r="A92" s="20">
        <v>60200125014</v>
      </c>
      <c r="B92" s="18">
        <f t="shared" si="0"/>
        <v>0</v>
      </c>
    </row>
    <row r="93" spans="1:4" ht="13.8" x14ac:dyDescent="0.3">
      <c r="A93" s="14">
        <v>60200125015</v>
      </c>
      <c r="B93" s="18">
        <f t="shared" si="0"/>
        <v>0</v>
      </c>
    </row>
    <row r="94" spans="1:4" ht="13.8" x14ac:dyDescent="0.3">
      <c r="A94" s="23">
        <v>60200125028</v>
      </c>
      <c r="B94" s="18">
        <f t="shared" si="0"/>
        <v>0</v>
      </c>
    </row>
    <row r="95" spans="1:4" ht="13.8" x14ac:dyDescent="0.3">
      <c r="A95" s="24">
        <v>60200125029</v>
      </c>
      <c r="B95" s="18">
        <f t="shared" si="0"/>
        <v>90</v>
      </c>
      <c r="C95" s="18">
        <v>94</v>
      </c>
      <c r="D95" s="18">
        <v>81</v>
      </c>
    </row>
    <row r="96" spans="1:4" ht="13.8" x14ac:dyDescent="0.3">
      <c r="A96" s="25">
        <v>60200125037</v>
      </c>
      <c r="B96" s="18">
        <f t="shared" si="0"/>
        <v>0</v>
      </c>
    </row>
    <row r="97" spans="1:4" ht="13.8" x14ac:dyDescent="0.3">
      <c r="A97" s="25">
        <v>60200125042</v>
      </c>
      <c r="B97" s="18">
        <f t="shared" si="0"/>
        <v>0</v>
      </c>
    </row>
    <row r="98" spans="1:4" ht="13.8" x14ac:dyDescent="0.3">
      <c r="A98" s="20">
        <v>60200125044</v>
      </c>
      <c r="B98" s="18">
        <f t="shared" si="0"/>
        <v>0</v>
      </c>
    </row>
    <row r="99" spans="1:4" ht="13.8" x14ac:dyDescent="0.3">
      <c r="A99" s="24">
        <v>60200125045</v>
      </c>
      <c r="B99" s="18">
        <f t="shared" si="0"/>
        <v>0</v>
      </c>
    </row>
    <row r="100" spans="1:4" ht="13.8" x14ac:dyDescent="0.3">
      <c r="A100" s="24">
        <v>60200125069</v>
      </c>
      <c r="B100" s="18">
        <f t="shared" si="0"/>
        <v>89</v>
      </c>
      <c r="C100" s="18">
        <v>90</v>
      </c>
      <c r="D100" s="18">
        <v>85</v>
      </c>
    </row>
    <row r="101" spans="1:4" ht="13.8" x14ac:dyDescent="0.3">
      <c r="A101" s="20">
        <v>60200125070</v>
      </c>
      <c r="B101" s="18">
        <f t="shared" si="0"/>
        <v>0</v>
      </c>
    </row>
    <row r="102" spans="1:4" ht="13.8" x14ac:dyDescent="0.3">
      <c r="A102" s="20">
        <v>60200125091</v>
      </c>
      <c r="B102" s="18">
        <f t="shared" si="0"/>
        <v>0</v>
      </c>
    </row>
    <row r="103" spans="1:4" ht="13.8" x14ac:dyDescent="0.3">
      <c r="A103" s="24">
        <v>60200125095</v>
      </c>
      <c r="B103" s="18">
        <f t="shared" si="0"/>
        <v>0</v>
      </c>
    </row>
    <row r="104" spans="1:4" ht="13.8" x14ac:dyDescent="0.3">
      <c r="A104" s="20">
        <v>60200125098</v>
      </c>
      <c r="B104" s="18">
        <f t="shared" si="0"/>
        <v>0</v>
      </c>
    </row>
    <row r="105" spans="1:4" ht="13.8" x14ac:dyDescent="0.3">
      <c r="A105" s="29">
        <v>60200125111</v>
      </c>
      <c r="B105" s="18">
        <f t="shared" si="0"/>
        <v>0</v>
      </c>
    </row>
    <row r="106" spans="1:4" ht="13.8" x14ac:dyDescent="0.3">
      <c r="A106" s="20">
        <v>60200125112</v>
      </c>
      <c r="B106" s="18">
        <f t="shared" si="0"/>
        <v>63</v>
      </c>
      <c r="C106" s="18">
        <v>90</v>
      </c>
    </row>
    <row r="107" spans="1:4" ht="13.8" x14ac:dyDescent="0.3">
      <c r="A107" s="24">
        <v>60200125145</v>
      </c>
      <c r="B107" s="18">
        <f t="shared" si="0"/>
        <v>0</v>
      </c>
    </row>
    <row r="108" spans="1:4" ht="13.8" x14ac:dyDescent="0.3">
      <c r="A108" s="24">
        <v>60200125146</v>
      </c>
      <c r="B108" s="18">
        <f t="shared" si="0"/>
        <v>0</v>
      </c>
    </row>
    <row r="109" spans="1:4" ht="13.8" x14ac:dyDescent="0.3">
      <c r="A109" s="24">
        <v>60200125148</v>
      </c>
      <c r="B109" s="18">
        <f t="shared" si="0"/>
        <v>0</v>
      </c>
    </row>
    <row r="110" spans="1:4" ht="13.8" x14ac:dyDescent="0.3">
      <c r="A110" s="29">
        <v>60200125149</v>
      </c>
      <c r="B110" s="18">
        <f t="shared" si="0"/>
        <v>63</v>
      </c>
      <c r="C110" s="18">
        <v>90</v>
      </c>
    </row>
    <row r="111" spans="1:4" ht="13.8" x14ac:dyDescent="0.3">
      <c r="A111" s="14">
        <v>60200125150</v>
      </c>
      <c r="B111" s="1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Kontrak</vt:lpstr>
      <vt:lpstr>KELAS B</vt:lpstr>
      <vt:lpstr>KELAS D</vt:lpstr>
      <vt:lpstr>KELAS E</vt:lpstr>
      <vt:lpstr>PENILAIAN_UAS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Makbul N</cp:lastModifiedBy>
  <dcterms:modified xsi:type="dcterms:W3CDTF">2026-08-23T07:46:05Z</dcterms:modified>
</cp:coreProperties>
</file>