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C" sheetId="2" r:id="rId5"/>
  </sheets>
  <definedNames/>
  <calcPr/>
</workbook>
</file>

<file path=xl/sharedStrings.xml><?xml version="1.0" encoding="utf-8"?>
<sst xmlns="http://schemas.openxmlformats.org/spreadsheetml/2006/main" count="127" uniqueCount="93">
  <si>
    <t>No.</t>
  </si>
  <si>
    <t>NIM</t>
  </si>
  <si>
    <t>Nama</t>
  </si>
  <si>
    <t>Ket</t>
  </si>
  <si>
    <t>Total</t>
  </si>
  <si>
    <t>Laporan &amp; Asistensi</t>
  </si>
  <si>
    <t>TP</t>
  </si>
  <si>
    <t>Respon</t>
  </si>
  <si>
    <t>Final Individu</t>
  </si>
  <si>
    <t>Final Kelompok</t>
  </si>
  <si>
    <t>NILAI AKHIR</t>
  </si>
  <si>
    <t>Predikat</t>
  </si>
  <si>
    <t>M. FADEL BAHARUDDIN</t>
  </si>
  <si>
    <t>SHIDIQ MINWAR AL- AMIN</t>
  </si>
  <si>
    <t>MUH. EDWIN</t>
  </si>
  <si>
    <t>AZISAH</t>
  </si>
  <si>
    <t>MUHAMMAD ILHAM ISMAIL</t>
  </si>
  <si>
    <t>ANDI MIFTAHUL KHAER</t>
  </si>
  <si>
    <t>RIDHO RAMADHAN</t>
  </si>
  <si>
    <t>MUH. SYATHIR MUSYFIQ AZIS</t>
  </si>
  <si>
    <t>MUHAMMAD ANDHIKA RAFFY</t>
  </si>
  <si>
    <t>AHSANU AMAL</t>
  </si>
  <si>
    <t>FARUH LATIF FAZA</t>
  </si>
  <si>
    <t>JYLAN A`ISYAH HAMZAH</t>
  </si>
  <si>
    <t>KHOIRUL FADLIN</t>
  </si>
  <si>
    <t>IMMAWAN SABILILHAQ</t>
  </si>
  <si>
    <t>SYAHRUL RAMADHAN</t>
  </si>
  <si>
    <t>MUHAMMAD ARIF ANWARUL KADIR</t>
  </si>
  <si>
    <t>WIDYA LATIFAH</t>
  </si>
  <si>
    <t>MUHAMMAD FAKHRI ABRAR</t>
  </si>
  <si>
    <t>PUTRI SEPTRIASA</t>
  </si>
  <si>
    <t>AHMAD AFIF</t>
  </si>
  <si>
    <t>DEEDAT AHMAD</t>
  </si>
  <si>
    <t>ANIQ HANIF KHAT</t>
  </si>
  <si>
    <t>AFIAH RASYIDAH</t>
  </si>
  <si>
    <t>TISNAWATI</t>
  </si>
  <si>
    <t>MUH. ISRA SUBAIR</t>
  </si>
  <si>
    <t>HERUCOKRO WICAKSONO</t>
  </si>
  <si>
    <t>MUHAMMAD ZACKY FADHLILLAH</t>
  </si>
  <si>
    <t>RAHMAT UTRUJAH LUKMANAH</t>
  </si>
  <si>
    <t>MUH. RIFFIYAL KA'BAH AL-GIFARI</t>
  </si>
  <si>
    <t>AGIL MISWARY</t>
  </si>
  <si>
    <t>JAMIA RISKA RAHIM</t>
  </si>
  <si>
    <t>FAHRUL RAHMAN</t>
  </si>
  <si>
    <t>REGINA ANUGRAH FAIZMA</t>
  </si>
  <si>
    <t>MUHAMMAD AQIL MUBARAK</t>
  </si>
  <si>
    <t>MUHAMMAD ALIEF AMRAH</t>
  </si>
  <si>
    <t>Asisten 1</t>
  </si>
  <si>
    <t>Ayu Aziza Feriana Hn</t>
  </si>
  <si>
    <t>Asisten 2</t>
  </si>
  <si>
    <t>Muhammad Makbul N</t>
  </si>
  <si>
    <t>Jumlah Mahasiswa Hadir</t>
  </si>
  <si>
    <t>Paraf Dosen</t>
  </si>
  <si>
    <t>KEHADIRAN</t>
  </si>
  <si>
    <t>RESPON</t>
  </si>
  <si>
    <t>LAPORAN</t>
  </si>
  <si>
    <t>FINAL</t>
  </si>
  <si>
    <t>QUIZ 1</t>
  </si>
  <si>
    <t>PREDIKAT</t>
  </si>
  <si>
    <t>ALFIYYAH</t>
  </si>
  <si>
    <t>M. JAHWAR SAID</t>
  </si>
  <si>
    <t>UFAIRAH NAWAL ATIFAH</t>
  </si>
  <si>
    <t>NURUL INAYAH SYAHRIR</t>
  </si>
  <si>
    <t>EUNENG MUTIARA MUNANDA</t>
  </si>
  <si>
    <t>RABIATUL ADAWIYAH FAIR</t>
  </si>
  <si>
    <t>MUH. JAMIL AQSA ABD. MALIK</t>
  </si>
  <si>
    <t>ADILAH NOVRIANZAH</t>
  </si>
  <si>
    <t>MUH. YUSUF SYAHRUL</t>
  </si>
  <si>
    <t>MUH. FAUZAN ALFAJRI S</t>
  </si>
  <si>
    <t>FATHUL ANSHOR TSANY</t>
  </si>
  <si>
    <t>ABDULLAH NUR</t>
  </si>
  <si>
    <t>AHMAD NAUVAL AL BANI</t>
  </si>
  <si>
    <t>ELISA EMI PUTRI</t>
  </si>
  <si>
    <t>AFNI AMALIYAH</t>
  </si>
  <si>
    <t>ANDI ZAHRATULNISA</t>
  </si>
  <si>
    <t>AMMAR MUMTAZ</t>
  </si>
  <si>
    <t>MUHAMMAD ICHSAN IDRIS</t>
  </si>
  <si>
    <t>SUBHAN SYAFRIANSYAH</t>
  </si>
  <si>
    <t>RESKI AMALIA</t>
  </si>
  <si>
    <t>AFIQAH NUR SYAFITRI HS</t>
  </si>
  <si>
    <t>BAHRUL ALAM</t>
  </si>
  <si>
    <t>ELSA YAKUB</t>
  </si>
  <si>
    <t>AHMAD RAIHAN</t>
  </si>
  <si>
    <t>RESKY AMELIA</t>
  </si>
  <si>
    <t>RAHMADITA</t>
  </si>
  <si>
    <t>ANDI ABD. MUDATSIR RUSLI</t>
  </si>
  <si>
    <t>MUHAMMAD KHATIR MA'ARIF</t>
  </si>
  <si>
    <t>AMAL SYAM</t>
  </si>
  <si>
    <t>MUHAMMAD RANGGA RIZQI KARYANTO</t>
  </si>
  <si>
    <t>AHMAD EZZAR</t>
  </si>
  <si>
    <t>AHMAD HAZQIL HASBI SIDDIK</t>
  </si>
  <si>
    <t>MIFTA KHAERIAH</t>
  </si>
  <si>
    <t>MUH. FAATHIR RACHMAN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</si>
</sst>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rgb="FF000000"/>
      <name val="Tahoma"/>
    </font>
    <font>
      <b/>
      <color rgb="FF000000"/>
      <name val="&quot;Times New Roman&quot;"/>
    </font>
    <font/>
    <font>
      <b/>
      <color rgb="FF000000"/>
      <name val="Calibri"/>
    </font>
    <font>
      <b/>
      <sz val="10.0"/>
      <color rgb="FF000000"/>
      <name val="&quot;Times New Roman&quot;"/>
    </font>
    <font>
      <color rgb="FF000000"/>
      <name val="&quot;Times New Roman&quot;"/>
    </font>
    <font>
      <sz val="10.0"/>
      <color rgb="FF000000"/>
      <name val="Tahoma"/>
    </font>
    <font>
      <sz val="10.0"/>
      <color theme="1"/>
      <name val="Arial"/>
      <scheme val="minor"/>
    </font>
    <font>
      <sz val="10.0"/>
      <color rgb="FF000000"/>
      <name val="&quot;Times New Roman&quot;"/>
    </font>
    <font>
      <sz val="10.0"/>
      <color rgb="FF000000"/>
      <name val="Calibri"/>
    </font>
    <font>
      <b/>
      <sz val="10.0"/>
      <color rgb="FF000000"/>
      <name val="Tahoma"/>
    </font>
    <font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color rgb="FF000000"/>
      <name val="Calibri"/>
    </font>
    <font>
      <sz val="11.0"/>
      <color rgb="FF000000"/>
      <name val="Calibri"/>
    </font>
    <font>
      <sz val="10.0"/>
      <color rgb="FFFF0000"/>
      <name val="Calibri"/>
    </font>
    <font>
      <color rgb="FF000000"/>
      <name val="Tahoma"/>
    </font>
    <font>
      <sz val="11.0"/>
      <color rgb="FFFFFFFF"/>
      <name val="Calibri"/>
    </font>
    <font>
      <sz val="11.0"/>
      <color theme="1"/>
      <name val="Calibri"/>
    </font>
    <font>
      <color theme="1"/>
      <name val="Arial"/>
    </font>
    <font>
      <sz val="8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6E0B4"/>
        <bgColor rgb="FFC6E0B4"/>
      </patternFill>
    </fill>
    <fill>
      <patternFill patternType="solid">
        <fgColor rgb="FFDBDBDB"/>
        <bgColor rgb="FFDBDBDB"/>
      </patternFill>
    </fill>
    <fill>
      <patternFill patternType="solid">
        <fgColor rgb="FFB4B4B4"/>
        <bgColor rgb="FFB4B4B4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horizontal="center" readingOrder="0" vertical="top"/>
    </xf>
    <xf borderId="4" fillId="0" fontId="3" numFmtId="0" xfId="0" applyBorder="1" applyFont="1"/>
    <xf borderId="5" fillId="0" fontId="3" numFmtId="0" xfId="0" applyBorder="1" applyFont="1"/>
    <xf borderId="5" fillId="3" fontId="2" numFmtId="0" xfId="0" applyAlignment="1" applyBorder="1" applyFont="1">
      <alignment horizontal="center" readingOrder="0" vertical="top"/>
    </xf>
    <xf borderId="1" fillId="3" fontId="2" numFmtId="0" xfId="0" applyAlignment="1" applyBorder="1" applyFont="1">
      <alignment horizontal="center" readingOrder="0"/>
    </xf>
    <xf borderId="4" fillId="4" fontId="2" numFmtId="0" xfId="0" applyAlignment="1" applyBorder="1" applyFill="1" applyFont="1">
      <alignment horizontal="center" readingOrder="0" vertical="top"/>
    </xf>
    <xf borderId="5" fillId="4" fontId="2" numFmtId="0" xfId="0" applyAlignment="1" applyBorder="1" applyFont="1">
      <alignment horizontal="center" readingOrder="0" vertical="top"/>
    </xf>
    <xf borderId="1" fillId="4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 readingOrder="0" vertical="top"/>
    </xf>
    <xf borderId="5" fillId="5" fontId="2" numFmtId="0" xfId="0" applyAlignment="1" applyBorder="1" applyFont="1">
      <alignment horizontal="center" readingOrder="0" vertical="top"/>
    </xf>
    <xf borderId="1" fillId="5" fontId="2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horizontal="center" readingOrder="0" shrinkToFit="0" wrapText="0"/>
    </xf>
    <xf borderId="0" fillId="8" fontId="4" numFmtId="0" xfId="0" applyAlignment="1" applyFill="1" applyFont="1">
      <alignment horizontal="center" readingOrder="0" shrinkToFit="0" wrapText="0"/>
    </xf>
    <xf borderId="6" fillId="0" fontId="3" numFmtId="0" xfId="0" applyBorder="1" applyFont="1"/>
    <xf borderId="7" fillId="0" fontId="3" numFmtId="0" xfId="0" applyBorder="1" applyFont="1"/>
    <xf borderId="2" fillId="3" fontId="2" numFmtId="0" xfId="0" applyAlignment="1" applyBorder="1" applyFont="1">
      <alignment horizontal="center" readingOrder="0" shrinkToFit="0" vertical="top" wrapText="0"/>
    </xf>
    <xf borderId="2" fillId="4" fontId="2" numFmtId="0" xfId="0" applyAlignment="1" applyBorder="1" applyFont="1">
      <alignment horizontal="center" readingOrder="0" shrinkToFit="0" vertical="top" wrapText="0"/>
    </xf>
    <xf borderId="2" fillId="5" fontId="2" numFmtId="0" xfId="0" applyAlignment="1" applyBorder="1" applyFont="1">
      <alignment horizontal="center" readingOrder="0" shrinkToFit="0" vertical="top" wrapText="0"/>
    </xf>
    <xf borderId="8" fillId="0" fontId="3" numFmtId="0" xfId="0" applyBorder="1" applyFont="1"/>
    <xf borderId="2" fillId="2" fontId="5" numFmtId="0" xfId="0" applyAlignment="1" applyBorder="1" applyFont="1">
      <alignment readingOrder="0"/>
    </xf>
    <xf borderId="9" fillId="0" fontId="3" numFmtId="0" xfId="0" applyBorder="1" applyFont="1"/>
    <xf borderId="2" fillId="3" fontId="6" numFmtId="0" xfId="0" applyAlignment="1" applyBorder="1" applyFont="1">
      <alignment horizontal="center" vertical="bottom"/>
    </xf>
    <xf borderId="2" fillId="4" fontId="6" numFmtId="0" xfId="0" applyAlignment="1" applyBorder="1" applyFont="1">
      <alignment horizontal="center" vertical="bottom"/>
    </xf>
    <xf borderId="2" fillId="5" fontId="6" numFmtId="0" xfId="0" applyAlignment="1" applyBorder="1" applyFont="1">
      <alignment horizontal="center" vertical="bottom"/>
    </xf>
    <xf borderId="2" fillId="9" fontId="7" numFmtId="0" xfId="0" applyAlignment="1" applyBorder="1" applyFill="1" applyFont="1">
      <alignment horizontal="center" readingOrder="0"/>
    </xf>
    <xf borderId="2" fillId="9" fontId="8" numFmtId="0" xfId="0" applyAlignment="1" applyBorder="1" applyFont="1">
      <alignment horizontal="center" readingOrder="0" vertical="top"/>
    </xf>
    <xf borderId="2" fillId="9" fontId="8" numFmtId="0" xfId="0" applyAlignment="1" applyBorder="1" applyFont="1">
      <alignment readingOrder="0" vertical="top"/>
    </xf>
    <xf borderId="2" fillId="9" fontId="9" numFmtId="0" xfId="0" applyAlignment="1" applyBorder="1" applyFont="1">
      <alignment horizontal="center" readingOrder="0"/>
    </xf>
    <xf borderId="2" fillId="9" fontId="9" numFmtId="0" xfId="0" applyAlignment="1" applyBorder="1" applyFont="1">
      <alignment horizontal="center"/>
    </xf>
    <xf borderId="2" fillId="9" fontId="10" numFmtId="0" xfId="0" applyAlignment="1" applyBorder="1" applyFont="1">
      <alignment readingOrder="0" shrinkToFit="0" vertical="bottom" wrapText="0"/>
    </xf>
    <xf borderId="5" fillId="9" fontId="10" numFmtId="0" xfId="0" applyAlignment="1" applyBorder="1" applyFont="1">
      <alignment readingOrder="0" shrinkToFit="0" vertical="bottom" wrapText="0"/>
    </xf>
    <xf borderId="2" fillId="9" fontId="10" numFmtId="0" xfId="0" applyAlignment="1" applyBorder="1" applyFont="1">
      <alignment shrinkToFit="0" vertical="bottom" wrapText="0"/>
    </xf>
    <xf borderId="2" fillId="9" fontId="10" numFmtId="0" xfId="0" applyAlignment="1" applyBorder="1" applyFont="1">
      <alignment horizontal="center" shrinkToFit="0" vertical="bottom" wrapText="0"/>
    </xf>
    <xf borderId="2" fillId="9" fontId="10" numFmtId="0" xfId="0" applyAlignment="1" applyBorder="1" applyFont="1">
      <alignment horizontal="center" shrinkToFit="0" vertical="bottom" wrapText="0"/>
    </xf>
    <xf borderId="2" fillId="9" fontId="10" numFmtId="0" xfId="0" applyAlignment="1" applyBorder="1" applyFont="1">
      <alignment horizontal="center" readingOrder="0" shrinkToFit="0" vertical="bottom" wrapText="0"/>
    </xf>
    <xf borderId="0" fillId="9" fontId="10" numFmtId="0" xfId="0" applyAlignment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vertical="top"/>
    </xf>
    <xf borderId="2" fillId="0" fontId="8" numFmtId="0" xfId="0" applyAlignment="1" applyBorder="1" applyFont="1">
      <alignment readingOrder="0" vertical="top"/>
    </xf>
    <xf borderId="2" fillId="2" fontId="9" numFmtId="0" xfId="0" applyAlignment="1" applyBorder="1" applyFont="1">
      <alignment horizontal="center" readingOrder="0"/>
    </xf>
    <xf borderId="2" fillId="2" fontId="9" numFmtId="0" xfId="0" applyAlignment="1" applyBorder="1" applyFont="1">
      <alignment horizontal="center"/>
    </xf>
    <xf borderId="8" fillId="3" fontId="10" numFmtId="0" xfId="0" applyAlignment="1" applyBorder="1" applyFont="1">
      <alignment horizontal="right" readingOrder="0" shrinkToFit="0" vertical="bottom" wrapText="0"/>
    </xf>
    <xf borderId="2" fillId="3" fontId="10" numFmtId="0" xfId="0" applyAlignment="1" applyBorder="1" applyFont="1">
      <alignment shrinkToFit="0" vertical="bottom" wrapText="0"/>
    </xf>
    <xf borderId="8" fillId="4" fontId="10" numFmtId="0" xfId="0" applyAlignment="1" applyBorder="1" applyFont="1">
      <alignment horizontal="right" readingOrder="0" shrinkToFit="0" vertical="bottom" wrapText="0"/>
    </xf>
    <xf borderId="2" fillId="4" fontId="10" numFmtId="0" xfId="0" applyAlignment="1" applyBorder="1" applyFont="1">
      <alignment shrinkToFit="0" vertical="bottom" wrapText="0"/>
    </xf>
    <xf borderId="8" fillId="5" fontId="10" numFmtId="0" xfId="0" applyAlignment="1" applyBorder="1" applyFont="1">
      <alignment horizontal="right" readingOrder="0" shrinkToFit="0" vertical="bottom" wrapText="0"/>
    </xf>
    <xf borderId="2" fillId="5" fontId="10" numFmtId="0" xfId="0" applyAlignment="1" applyBorder="1" applyFont="1">
      <alignment shrinkToFit="0" vertical="bottom" wrapText="0"/>
    </xf>
    <xf borderId="2" fillId="6" fontId="10" numFmtId="0" xfId="0" applyAlignment="1" applyBorder="1" applyFont="1">
      <alignment horizontal="center" readingOrder="0" shrinkToFit="0" vertical="bottom" wrapText="0"/>
    </xf>
    <xf borderId="2" fillId="6" fontId="10" numFmtId="0" xfId="0" applyAlignment="1" applyBorder="1" applyFont="1">
      <alignment horizontal="center" shrinkToFit="0" vertical="bottom" wrapText="0"/>
    </xf>
    <xf borderId="2" fillId="6" fontId="10" numFmtId="0" xfId="0" applyAlignment="1" applyBorder="1" applyFont="1">
      <alignment horizontal="center" shrinkToFit="0" vertical="bottom" wrapText="0"/>
    </xf>
    <xf borderId="2" fillId="7" fontId="10" numFmtId="0" xfId="0" applyAlignment="1" applyBorder="1" applyFont="1">
      <alignment horizontal="center" readingOrder="0" shrinkToFit="0" vertical="bottom" wrapText="0"/>
    </xf>
    <xf borderId="0" fillId="8" fontId="10" numFmtId="0" xfId="0" applyAlignment="1" applyFont="1">
      <alignment horizontal="center" readingOrder="0" shrinkToFit="0" vertical="bottom" wrapText="0"/>
    </xf>
    <xf borderId="8" fillId="9" fontId="10" numFmtId="0" xfId="0" applyAlignment="1" applyBorder="1" applyFont="1">
      <alignment horizontal="right" readingOrder="0" shrinkToFit="0" vertical="bottom" wrapText="0"/>
    </xf>
    <xf borderId="2" fillId="10" fontId="7" numFmtId="0" xfId="0" applyAlignment="1" applyBorder="1" applyFill="1" applyFont="1">
      <alignment horizontal="center" readingOrder="0"/>
    </xf>
    <xf borderId="2" fillId="8" fontId="7" numFmtId="0" xfId="0" applyAlignment="1" applyBorder="1" applyFont="1">
      <alignment horizontal="center" readingOrder="0"/>
    </xf>
    <xf borderId="2" fillId="8" fontId="8" numFmtId="0" xfId="0" applyAlignment="1" applyBorder="1" applyFont="1">
      <alignment horizontal="center" readingOrder="0" vertical="top"/>
    </xf>
    <xf borderId="2" fillId="8" fontId="8" numFmtId="0" xfId="0" applyAlignment="1" applyBorder="1" applyFont="1">
      <alignment readingOrder="0" vertical="top"/>
    </xf>
    <xf borderId="2" fillId="3" fontId="10" numFmtId="0" xfId="0" applyAlignment="1" applyBorder="1" applyFont="1">
      <alignment horizontal="right" readingOrder="0" shrinkToFit="0" vertical="bottom" wrapText="0"/>
    </xf>
    <xf borderId="2" fillId="4" fontId="10" numFmtId="0" xfId="0" applyAlignment="1" applyBorder="1" applyFont="1">
      <alignment horizontal="right" readingOrder="0" shrinkToFit="0" vertical="bottom" wrapText="0"/>
    </xf>
    <xf borderId="2" fillId="5" fontId="10" numFmtId="0" xfId="0" applyAlignment="1" applyBorder="1" applyFont="1">
      <alignment horizontal="right" readingOrder="0" shrinkToFit="0" vertical="bottom" wrapText="0"/>
    </xf>
    <xf borderId="10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0" numFmtId="0" xfId="0" applyAlignment="1" applyFont="1">
      <alignment shrinkToFit="0" vertical="bottom" wrapText="0"/>
    </xf>
    <xf borderId="0" fillId="8" fontId="10" numFmtId="0" xfId="0" applyAlignment="1" applyFont="1">
      <alignment shrinkToFit="0" vertical="bottom" wrapText="0"/>
    </xf>
    <xf borderId="0" fillId="8" fontId="10" numFmtId="0" xfId="0" applyAlignment="1" applyFont="1">
      <alignment horizontal="center" shrinkToFit="0" vertical="bottom" wrapText="0"/>
    </xf>
    <xf borderId="0" fillId="0" fontId="10" numFmtId="4" xfId="0" applyAlignment="1" applyFont="1" applyNumberFormat="1">
      <alignment horizontal="center" shrinkToFit="0" vertical="bottom" wrapText="0"/>
    </xf>
    <xf borderId="0" fillId="8" fontId="10" numFmtId="4" xfId="0" applyAlignment="1" applyFont="1" applyNumberFormat="1">
      <alignment horizontal="center" shrinkToFit="0" vertical="bottom" wrapText="0"/>
    </xf>
    <xf borderId="10" fillId="0" fontId="7" numFmtId="0" xfId="0" applyAlignment="1" applyBorder="1" applyFont="1">
      <alignment readingOrder="0"/>
    </xf>
    <xf borderId="0" fillId="0" fontId="9" numFmtId="0" xfId="0" applyFont="1"/>
    <xf borderId="0" fillId="0" fontId="7" numFmtId="0" xfId="0" applyAlignment="1" applyFont="1">
      <alignment readingOrder="0" shrinkToFit="0" vertical="bottom" wrapText="0"/>
    </xf>
    <xf borderId="0" fillId="0" fontId="8" numFmtId="0" xfId="0" applyFont="1"/>
    <xf borderId="0" fillId="8" fontId="8" numFmtId="0" xfId="0" applyFont="1"/>
    <xf borderId="0" fillId="8" fontId="8" numFmtId="0" xfId="0" applyAlignment="1" applyFont="1">
      <alignment horizontal="center"/>
    </xf>
    <xf borderId="2" fillId="11" fontId="12" numFmtId="0" xfId="0" applyAlignment="1" applyBorder="1" applyFill="1" applyFont="1">
      <alignment horizontal="left" readingOrder="0" shrinkToFit="0" wrapText="0"/>
    </xf>
    <xf borderId="2" fillId="0" fontId="13" numFmtId="9" xfId="0" applyAlignment="1" applyBorder="1" applyFont="1" applyNumberFormat="1">
      <alignment horizontal="center" vertical="bottom"/>
    </xf>
    <xf borderId="0" fillId="8" fontId="10" numFmtId="9" xfId="0" applyAlignment="1" applyFont="1" applyNumberFormat="1">
      <alignment horizontal="center" readingOrder="0" shrinkToFit="0" vertical="bottom" wrapText="0"/>
    </xf>
    <xf borderId="0" fillId="8" fontId="10" numFmtId="0" xfId="0" applyAlignment="1" applyFont="1">
      <alignment readingOrder="0" shrinkToFit="0" vertical="bottom" wrapText="0"/>
    </xf>
    <xf borderId="8" fillId="11" fontId="12" numFmtId="0" xfId="0" applyAlignment="1" applyBorder="1" applyFont="1">
      <alignment horizontal="left" readingOrder="0" shrinkToFit="0" wrapText="0"/>
    </xf>
    <xf borderId="0" fillId="8" fontId="10" numFmtId="0" xfId="0" applyAlignment="1" applyFont="1">
      <alignment horizontal="right" readingOrder="0" shrinkToFit="0" vertical="bottom" wrapText="0"/>
    </xf>
    <xf borderId="2" fillId="0" fontId="8" numFmtId="0" xfId="0" applyAlignment="1" applyBorder="1" applyFont="1">
      <alignment readingOrder="0"/>
    </xf>
    <xf borderId="2" fillId="0" fontId="8" numFmtId="0" xfId="0" applyBorder="1" applyFont="1"/>
    <xf borderId="0" fillId="8" fontId="14" numFmtId="0" xfId="0" applyFont="1"/>
    <xf borderId="0" fillId="8" fontId="15" numFmtId="0" xfId="0" applyAlignment="1" applyFont="1">
      <alignment horizontal="right" readingOrder="0" shrinkToFit="0" vertical="bottom" wrapText="0"/>
    </xf>
    <xf borderId="0" fillId="8" fontId="16" numFmtId="0" xfId="0" applyAlignment="1" applyFont="1">
      <alignment horizontal="center" readingOrder="0" shrinkToFit="0" vertical="bottom" wrapText="0"/>
    </xf>
    <xf borderId="0" fillId="8" fontId="14" numFmtId="0" xfId="0" applyAlignment="1" applyFont="1">
      <alignment horizontal="center"/>
    </xf>
    <xf borderId="0" fillId="8" fontId="14" numFmtId="0" xfId="0" applyAlignment="1" applyFont="1">
      <alignment horizontal="center" readingOrder="0"/>
    </xf>
    <xf borderId="0" fillId="2" fontId="14" numFmtId="0" xfId="0" applyAlignment="1" applyFont="1">
      <alignment horizontal="center"/>
    </xf>
    <xf borderId="0" fillId="0" fontId="14" numFmtId="0" xfId="0" applyAlignment="1" applyFont="1">
      <alignment horizontal="center"/>
    </xf>
    <xf borderId="2" fillId="3" fontId="10" numFmtId="0" xfId="0" applyAlignment="1" applyBorder="1" applyFont="1">
      <alignment readingOrder="0" shrinkToFit="0" vertical="bottom" wrapText="0"/>
    </xf>
    <xf borderId="8" fillId="12" fontId="10" numFmtId="0" xfId="0" applyAlignment="1" applyBorder="1" applyFill="1" applyFont="1">
      <alignment horizontal="right" readingOrder="0" shrinkToFit="0" vertical="bottom" wrapText="0"/>
    </xf>
    <xf borderId="5" fillId="12" fontId="10" numFmtId="0" xfId="0" applyAlignment="1" applyBorder="1" applyFont="1">
      <alignment readingOrder="0" shrinkToFit="0" vertical="bottom" wrapText="0"/>
    </xf>
    <xf borderId="2" fillId="12" fontId="10" numFmtId="0" xfId="0" applyAlignment="1" applyBorder="1" applyFont="1">
      <alignment shrinkToFit="0" vertical="bottom" wrapText="0"/>
    </xf>
    <xf borderId="8" fillId="13" fontId="10" numFmtId="0" xfId="0" applyAlignment="1" applyBorder="1" applyFill="1" applyFont="1">
      <alignment horizontal="right" readingOrder="0" shrinkToFit="0" vertical="bottom" wrapText="0"/>
    </xf>
    <xf borderId="5" fillId="13" fontId="10" numFmtId="0" xfId="0" applyAlignment="1" applyBorder="1" applyFont="1">
      <alignment readingOrder="0" shrinkToFit="0" vertical="bottom" wrapText="0"/>
    </xf>
    <xf borderId="8" fillId="14" fontId="10" numFmtId="0" xfId="0" applyAlignment="1" applyBorder="1" applyFill="1" applyFont="1">
      <alignment horizontal="right" readingOrder="0" shrinkToFit="0" vertical="bottom" wrapText="0"/>
    </xf>
    <xf borderId="5" fillId="14" fontId="10" numFmtId="0" xfId="0" applyAlignment="1" applyBorder="1" applyFont="1">
      <alignment readingOrder="0" shrinkToFit="0" vertical="bottom" wrapText="0"/>
    </xf>
    <xf borderId="2" fillId="14" fontId="10" numFmtId="0" xfId="0" applyAlignment="1" applyBorder="1" applyFont="1">
      <alignment shrinkToFit="0" vertical="bottom" wrapText="0"/>
    </xf>
    <xf borderId="8" fillId="15" fontId="10" numFmtId="0" xfId="0" applyAlignment="1" applyBorder="1" applyFill="1" applyFont="1">
      <alignment horizontal="right" readingOrder="0" shrinkToFit="0" vertical="bottom" wrapText="0"/>
    </xf>
    <xf borderId="5" fillId="15" fontId="10" numFmtId="0" xfId="0" applyAlignment="1" applyBorder="1" applyFont="1">
      <alignment readingOrder="0" shrinkToFit="0" vertical="bottom" wrapText="0"/>
    </xf>
    <xf borderId="8" fillId="3" fontId="17" numFmtId="0" xfId="0" applyAlignment="1" applyBorder="1" applyFont="1">
      <alignment horizontal="right" readingOrder="0" shrinkToFit="0" vertical="bottom" wrapText="0"/>
    </xf>
    <xf borderId="2" fillId="14" fontId="10" numFmtId="0" xfId="0" applyAlignment="1" applyBorder="1" applyFont="1">
      <alignment horizontal="right" readingOrder="0" shrinkToFit="0" vertical="bottom" wrapText="0"/>
    </xf>
    <xf borderId="2" fillId="14" fontId="10" numFmtId="0" xfId="0" applyAlignment="1" applyBorder="1" applyFont="1">
      <alignment readingOrder="0" shrinkToFit="0" vertical="bottom" wrapText="0"/>
    </xf>
    <xf borderId="2" fillId="15" fontId="10" numFmtId="0" xfId="0" applyAlignment="1" applyBorder="1" applyFont="1">
      <alignment horizontal="right" readingOrder="0" shrinkToFit="0" vertical="bottom" wrapText="0"/>
    </xf>
    <xf borderId="2" fillId="15" fontId="10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6" numFmtId="0" xfId="0" applyAlignment="1" applyFont="1">
      <alignment shrinkToFit="0" vertical="bottom" wrapText="0"/>
    </xf>
    <xf borderId="0" fillId="8" fontId="16" numFmtId="0" xfId="0" applyAlignment="1" applyFont="1">
      <alignment readingOrder="0" shrinkToFit="0" vertical="bottom" wrapText="0"/>
    </xf>
    <xf borderId="0" fillId="8" fontId="16" numFmtId="0" xfId="0" applyAlignment="1" applyFont="1">
      <alignment shrinkToFit="0" vertical="bottom" wrapText="0"/>
    </xf>
    <xf borderId="0" fillId="8" fontId="16" numFmtId="0" xfId="0" applyAlignment="1" applyFont="1">
      <alignment horizontal="center" shrinkToFit="0" vertical="bottom" wrapText="0"/>
    </xf>
    <xf borderId="2" fillId="0" fontId="18" numFmtId="0" xfId="0" applyAlignment="1" applyBorder="1" applyFont="1">
      <alignment horizontal="center" readingOrder="0"/>
    </xf>
    <xf borderId="10" fillId="0" fontId="18" numFmtId="0" xfId="0" applyAlignment="1" applyBorder="1" applyFont="1">
      <alignment readingOrder="0"/>
    </xf>
    <xf borderId="0" fillId="0" fontId="6" numFmtId="0" xfId="0" applyFont="1"/>
    <xf borderId="0" fillId="0" fontId="18" numFmtId="0" xfId="0" applyAlignment="1" applyFont="1">
      <alignment readingOrder="0" shrinkToFit="0" vertical="bottom" wrapText="0"/>
    </xf>
    <xf borderId="4" fillId="0" fontId="18" numFmtId="0" xfId="0" applyAlignment="1" applyBorder="1" applyFont="1">
      <alignment readingOrder="0"/>
    </xf>
    <xf borderId="2" fillId="11" fontId="19" numFmtId="0" xfId="0" applyAlignment="1" applyBorder="1" applyFont="1">
      <alignment horizontal="left" readingOrder="0" shrinkToFit="0" wrapText="0"/>
    </xf>
    <xf borderId="8" fillId="0" fontId="20" numFmtId="9" xfId="0" applyAlignment="1" applyBorder="1" applyFont="1" applyNumberFormat="1">
      <alignment horizontal="center" vertical="bottom"/>
    </xf>
    <xf borderId="0" fillId="0" fontId="16" numFmtId="9" xfId="0" applyAlignment="1" applyFont="1" applyNumberFormat="1">
      <alignment horizontal="center" readingOrder="0" shrinkToFit="0" vertical="bottom" wrapText="0"/>
    </xf>
    <xf borderId="0" fillId="0" fontId="21" numFmtId="9" xfId="0" applyAlignment="1" applyFont="1" applyNumberFormat="1">
      <alignment vertical="bottom"/>
    </xf>
    <xf borderId="8" fillId="11" fontId="19" numFmtId="0" xfId="0" applyAlignment="1" applyBorder="1" applyFont="1">
      <alignment horizontal="left" readingOrder="0" shrinkToFit="0" wrapText="0"/>
    </xf>
    <xf borderId="2" fillId="0" fontId="20" numFmtId="9" xfId="0" applyAlignment="1" applyBorder="1" applyFont="1" applyNumberFormat="1">
      <alignment horizontal="center" vertical="bottom"/>
    </xf>
    <xf borderId="0" fillId="0" fontId="21" numFmtId="0" xfId="0" applyAlignment="1" applyFont="1">
      <alignment horizontal="right" readingOrder="0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2" fillId="0" fontId="14" numFmtId="0" xfId="0" applyAlignment="1" applyBorder="1" applyFont="1">
      <alignment readingOrder="0"/>
    </xf>
    <xf borderId="0" fillId="0" fontId="21" numFmtId="0" xfId="0" applyAlignment="1" applyFont="1">
      <alignment readingOrder="0" vertical="bottom"/>
    </xf>
    <xf borderId="2" fillId="8" fontId="14" numFmtId="0" xfId="0" applyAlignment="1" applyBorder="1" applyFont="1">
      <alignment readingOrder="0"/>
    </xf>
    <xf borderId="2" fillId="0" fontId="22" numFmtId="0" xfId="0" applyAlignment="1" applyBorder="1" applyFont="1">
      <alignment readingOrder="0" vertical="top"/>
    </xf>
    <xf borderId="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5"/>
    <col customWidth="1" min="3" max="3" width="36.0"/>
    <col customWidth="1" min="4" max="13" width="4.0"/>
    <col customWidth="1" min="14" max="15" width="6.0"/>
    <col customWidth="1" min="16" max="30" width="5.13"/>
    <col customWidth="1" min="31" max="37" width="5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3</v>
      </c>
      <c r="O1" s="4" t="s">
        <v>4</v>
      </c>
      <c r="P1" s="5" t="s">
        <v>5</v>
      </c>
      <c r="Q1" s="6"/>
      <c r="R1" s="6"/>
      <c r="S1" s="6"/>
      <c r="T1" s="6"/>
      <c r="U1" s="7"/>
      <c r="V1" s="8"/>
      <c r="W1" s="9" t="s">
        <v>4</v>
      </c>
      <c r="X1" s="10" t="s">
        <v>6</v>
      </c>
      <c r="Y1" s="6"/>
      <c r="Z1" s="6"/>
      <c r="AA1" s="6"/>
      <c r="AB1" s="7"/>
      <c r="AC1" s="11"/>
      <c r="AD1" s="12" t="s">
        <v>4</v>
      </c>
      <c r="AE1" s="13" t="s">
        <v>7</v>
      </c>
      <c r="AF1" s="6"/>
      <c r="AG1" s="6"/>
      <c r="AH1" s="6"/>
      <c r="AI1" s="7"/>
      <c r="AJ1" s="14"/>
      <c r="AK1" s="15" t="s">
        <v>4</v>
      </c>
      <c r="AL1" s="16" t="s">
        <v>8</v>
      </c>
      <c r="AM1" s="16" t="s">
        <v>9</v>
      </c>
      <c r="AN1" s="16" t="s">
        <v>4</v>
      </c>
      <c r="AO1" s="17" t="s">
        <v>10</v>
      </c>
      <c r="AP1" s="18"/>
    </row>
    <row r="2">
      <c r="A2" s="19"/>
      <c r="B2" s="19"/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19"/>
      <c r="O2" s="20"/>
      <c r="P2" s="21">
        <v>1.0</v>
      </c>
      <c r="Q2" s="21">
        <v>2.0</v>
      </c>
      <c r="R2" s="21">
        <v>3.0</v>
      </c>
      <c r="S2" s="21">
        <v>4.0</v>
      </c>
      <c r="T2" s="21">
        <v>5.0</v>
      </c>
      <c r="U2" s="21">
        <v>6.0</v>
      </c>
      <c r="V2" s="21">
        <v>7.0</v>
      </c>
      <c r="W2" s="19"/>
      <c r="X2" s="22">
        <v>1.0</v>
      </c>
      <c r="Y2" s="22">
        <v>2.0</v>
      </c>
      <c r="Z2" s="22">
        <v>3.0</v>
      </c>
      <c r="AA2" s="22">
        <v>4.0</v>
      </c>
      <c r="AB2" s="22">
        <v>5.0</v>
      </c>
      <c r="AC2" s="22">
        <v>6.0</v>
      </c>
      <c r="AD2" s="19"/>
      <c r="AE2" s="23">
        <v>1.0</v>
      </c>
      <c r="AF2" s="23">
        <v>2.0</v>
      </c>
      <c r="AG2" s="23">
        <v>3.0</v>
      </c>
      <c r="AH2" s="23">
        <v>4.0</v>
      </c>
      <c r="AI2" s="23">
        <v>5.0</v>
      </c>
      <c r="AJ2" s="23">
        <v>6.0</v>
      </c>
      <c r="AK2" s="19"/>
      <c r="AL2" s="19"/>
      <c r="AM2" s="19"/>
      <c r="AN2" s="19"/>
      <c r="AO2" s="19"/>
      <c r="AP2" s="18"/>
    </row>
    <row r="3">
      <c r="A3" s="24"/>
      <c r="B3" s="24"/>
      <c r="C3" s="24"/>
      <c r="D3" s="25">
        <v>1.0</v>
      </c>
      <c r="E3" s="25">
        <v>2.0</v>
      </c>
      <c r="F3" s="25">
        <v>3.0</v>
      </c>
      <c r="G3" s="25">
        <v>4.0</v>
      </c>
      <c r="H3" s="25">
        <v>5.0</v>
      </c>
      <c r="I3" s="25">
        <v>6.0</v>
      </c>
      <c r="J3" s="25">
        <v>7.0</v>
      </c>
      <c r="K3" s="25">
        <v>8.0</v>
      </c>
      <c r="L3" s="25">
        <v>9.0</v>
      </c>
      <c r="M3" s="25">
        <v>10.0</v>
      </c>
      <c r="N3" s="24"/>
      <c r="O3" s="26"/>
      <c r="P3" s="27"/>
      <c r="Q3" s="27"/>
      <c r="R3" s="27"/>
      <c r="S3" s="27"/>
      <c r="T3" s="27"/>
      <c r="U3" s="27"/>
      <c r="V3" s="27"/>
      <c r="W3" s="24"/>
      <c r="X3" s="28"/>
      <c r="Y3" s="28"/>
      <c r="Z3" s="28"/>
      <c r="AA3" s="28"/>
      <c r="AB3" s="28"/>
      <c r="AC3" s="28"/>
      <c r="AD3" s="24"/>
      <c r="AE3" s="29"/>
      <c r="AF3" s="29"/>
      <c r="AG3" s="29"/>
      <c r="AH3" s="29"/>
      <c r="AI3" s="29"/>
      <c r="AJ3" s="29"/>
      <c r="AK3" s="24"/>
      <c r="AL3" s="24"/>
      <c r="AM3" s="24"/>
      <c r="AN3" s="24"/>
      <c r="AO3" s="24"/>
      <c r="AP3" s="18" t="s">
        <v>11</v>
      </c>
    </row>
    <row r="4">
      <c r="A4" s="30">
        <v>1.0</v>
      </c>
      <c r="B4" s="31">
        <v>6.0200122119E10</v>
      </c>
      <c r="C4" s="32" t="s">
        <v>12</v>
      </c>
      <c r="D4" s="33">
        <v>1.0</v>
      </c>
      <c r="E4" s="33">
        <v>0.0</v>
      </c>
      <c r="F4" s="33">
        <v>0.0</v>
      </c>
      <c r="G4" s="33">
        <v>0.0</v>
      </c>
      <c r="H4" s="33">
        <v>0.0</v>
      </c>
      <c r="I4" s="33">
        <v>0.0</v>
      </c>
      <c r="J4" s="33">
        <v>0.0</v>
      </c>
      <c r="K4" s="33">
        <v>0.0</v>
      </c>
      <c r="L4" s="33">
        <f t="shared" ref="L4:L8" si="1">IF(AL4&gt;1,1,0)</f>
        <v>0</v>
      </c>
      <c r="M4" s="33">
        <v>0.0</v>
      </c>
      <c r="N4" s="34">
        <f t="shared" ref="N4:N38" si="2">SUM(D4:M4)</f>
        <v>1</v>
      </c>
      <c r="O4" s="34">
        <f t="shared" ref="O4:O38" si="3">N4*10</f>
        <v>10</v>
      </c>
      <c r="P4" s="35">
        <v>0.0</v>
      </c>
      <c r="Q4" s="36">
        <v>0.0</v>
      </c>
      <c r="R4" s="36">
        <v>0.0</v>
      </c>
      <c r="S4" s="35">
        <v>0.0</v>
      </c>
      <c r="T4" s="35">
        <v>0.0</v>
      </c>
      <c r="U4" s="35">
        <v>0.0</v>
      </c>
      <c r="V4" s="35">
        <v>0.0</v>
      </c>
      <c r="W4" s="37">
        <f t="shared" ref="W4:W38" si="4">ROUND(SUM(P4:V4)/7,0)</f>
        <v>0</v>
      </c>
      <c r="X4" s="35">
        <v>0.0</v>
      </c>
      <c r="Y4" s="36">
        <v>0.0</v>
      </c>
      <c r="Z4" s="36">
        <v>0.0</v>
      </c>
      <c r="AA4" s="36">
        <v>0.0</v>
      </c>
      <c r="AB4" s="36">
        <v>0.0</v>
      </c>
      <c r="AC4" s="36"/>
      <c r="AD4" s="37">
        <f t="shared" ref="AD4:AD38" si="5">ROUND(SUM(X4:AC4)/6,0)</f>
        <v>0</v>
      </c>
      <c r="AE4" s="35">
        <v>0.0</v>
      </c>
      <c r="AF4" s="36">
        <v>0.0</v>
      </c>
      <c r="AG4" s="36">
        <v>0.0</v>
      </c>
      <c r="AH4" s="36">
        <v>0.0</v>
      </c>
      <c r="AI4" s="36">
        <v>0.0</v>
      </c>
      <c r="AJ4" s="36">
        <v>0.0</v>
      </c>
      <c r="AK4" s="37">
        <f t="shared" ref="AK4:AK38" si="6">ROUND(SUM(AE4:AJ4)/6,0)</f>
        <v>0</v>
      </c>
      <c r="AL4" s="38">
        <v>0.0</v>
      </c>
      <c r="AM4" s="39">
        <v>0.0</v>
      </c>
      <c r="AN4" s="40">
        <v>0.0</v>
      </c>
      <c r="AO4" s="40">
        <f t="shared" ref="AO4:AO38" si="7">(O4*0.1)+(W4*0.35)+(AD4*0.15)+(AK4*0.15)+(AN4*0.25)</f>
        <v>1</v>
      </c>
      <c r="AP4" s="41" t="str">
        <f t="shared" ref="AP4:AP38" si="8">IF(AO4&gt;=85,"A",IF(AO4&gt;=75,"B",IF(AO4&gt;=65,"C",IF(AO4&gt;=50,"D","E"))))
</f>
        <v>E</v>
      </c>
    </row>
    <row r="5">
      <c r="A5" s="42">
        <v>2.0</v>
      </c>
      <c r="B5" s="43">
        <v>6.0200125001E10</v>
      </c>
      <c r="C5" s="44" t="s">
        <v>13</v>
      </c>
      <c r="D5" s="45">
        <v>1.0</v>
      </c>
      <c r="E5" s="45">
        <v>1.0</v>
      </c>
      <c r="F5" s="45">
        <v>1.0</v>
      </c>
      <c r="G5" s="45">
        <v>1.0</v>
      </c>
      <c r="H5" s="45">
        <v>1.0</v>
      </c>
      <c r="I5" s="45">
        <v>0.0</v>
      </c>
      <c r="J5" s="45">
        <v>1.0</v>
      </c>
      <c r="K5" s="45">
        <v>1.0</v>
      </c>
      <c r="L5" s="45">
        <f t="shared" si="1"/>
        <v>1</v>
      </c>
      <c r="M5" s="45">
        <v>1.0</v>
      </c>
      <c r="N5" s="46">
        <f t="shared" si="2"/>
        <v>9</v>
      </c>
      <c r="O5" s="46">
        <f t="shared" si="3"/>
        <v>90</v>
      </c>
      <c r="P5" s="47">
        <v>81.0</v>
      </c>
      <c r="Q5" s="47">
        <v>50.0</v>
      </c>
      <c r="R5" s="47">
        <v>89.0</v>
      </c>
      <c r="S5" s="47">
        <v>86.0</v>
      </c>
      <c r="T5" s="47">
        <v>91.5</v>
      </c>
      <c r="U5" s="47">
        <v>92.5</v>
      </c>
      <c r="V5" s="47">
        <v>80.0</v>
      </c>
      <c r="W5" s="48">
        <f t="shared" si="4"/>
        <v>81</v>
      </c>
      <c r="X5" s="49">
        <v>85.0</v>
      </c>
      <c r="Y5" s="49">
        <v>85.0</v>
      </c>
      <c r="Z5" s="49">
        <v>84.0</v>
      </c>
      <c r="AA5" s="49">
        <v>85.0</v>
      </c>
      <c r="AB5" s="49">
        <v>88.0</v>
      </c>
      <c r="AC5" s="49">
        <v>88.0</v>
      </c>
      <c r="AD5" s="50">
        <f t="shared" si="5"/>
        <v>86</v>
      </c>
      <c r="AE5" s="51">
        <v>85.0</v>
      </c>
      <c r="AF5" s="51">
        <v>85.0</v>
      </c>
      <c r="AG5" s="51">
        <v>84.0</v>
      </c>
      <c r="AH5" s="51">
        <v>85.0</v>
      </c>
      <c r="AI5" s="51">
        <v>88.0</v>
      </c>
      <c r="AJ5" s="51">
        <v>0.0</v>
      </c>
      <c r="AK5" s="52">
        <f t="shared" si="6"/>
        <v>71</v>
      </c>
      <c r="AL5" s="53">
        <v>80.0</v>
      </c>
      <c r="AM5" s="54">
        <v>80.0</v>
      </c>
      <c r="AN5" s="55">
        <f t="shared" ref="AN5:AN38" si="9">(AL5*0.6)+AM5*0.4</f>
        <v>80</v>
      </c>
      <c r="AO5" s="56">
        <f t="shared" si="7"/>
        <v>80.9</v>
      </c>
      <c r="AP5" s="57" t="str">
        <f t="shared" si="8"/>
        <v>B</v>
      </c>
    </row>
    <row r="6">
      <c r="A6" s="42">
        <v>3.0</v>
      </c>
      <c r="B6" s="43">
        <v>6.0200125006E10</v>
      </c>
      <c r="C6" s="44" t="s">
        <v>14</v>
      </c>
      <c r="D6" s="45">
        <v>1.0</v>
      </c>
      <c r="E6" s="45">
        <v>1.0</v>
      </c>
      <c r="F6" s="45">
        <v>1.0</v>
      </c>
      <c r="G6" s="45">
        <v>0.0</v>
      </c>
      <c r="H6" s="45">
        <v>1.0</v>
      </c>
      <c r="I6" s="45">
        <v>0.0</v>
      </c>
      <c r="J6" s="45">
        <v>1.0</v>
      </c>
      <c r="K6" s="45">
        <v>0.0</v>
      </c>
      <c r="L6" s="45">
        <f t="shared" si="1"/>
        <v>1</v>
      </c>
      <c r="M6" s="45">
        <v>1.0</v>
      </c>
      <c r="N6" s="46">
        <f t="shared" si="2"/>
        <v>7</v>
      </c>
      <c r="O6" s="46">
        <f t="shared" si="3"/>
        <v>70</v>
      </c>
      <c r="P6" s="47">
        <v>82.5</v>
      </c>
      <c r="Q6" s="47">
        <v>50.0</v>
      </c>
      <c r="R6" s="47">
        <v>85.0</v>
      </c>
      <c r="S6" s="47">
        <v>50.0</v>
      </c>
      <c r="T6" s="47">
        <v>90.0</v>
      </c>
      <c r="U6" s="47">
        <v>89.5</v>
      </c>
      <c r="V6" s="47">
        <v>65.0</v>
      </c>
      <c r="W6" s="48">
        <f t="shared" si="4"/>
        <v>73</v>
      </c>
      <c r="X6" s="49">
        <v>88.0</v>
      </c>
      <c r="Y6" s="49">
        <v>80.0</v>
      </c>
      <c r="Z6" s="49">
        <v>40.0</v>
      </c>
      <c r="AA6" s="49">
        <v>78.0</v>
      </c>
      <c r="AB6" s="49">
        <v>84.0</v>
      </c>
      <c r="AC6" s="49">
        <v>88.0</v>
      </c>
      <c r="AD6" s="50">
        <f t="shared" si="5"/>
        <v>76</v>
      </c>
      <c r="AE6" s="51">
        <v>88.0</v>
      </c>
      <c r="AF6" s="51">
        <v>80.0</v>
      </c>
      <c r="AG6" s="51">
        <v>0.0</v>
      </c>
      <c r="AH6" s="51">
        <v>78.0</v>
      </c>
      <c r="AI6" s="51">
        <v>0.0</v>
      </c>
      <c r="AJ6" s="51">
        <v>88.0</v>
      </c>
      <c r="AK6" s="52">
        <f t="shared" si="6"/>
        <v>56</v>
      </c>
      <c r="AL6" s="53">
        <v>70.0</v>
      </c>
      <c r="AM6" s="54">
        <v>75.0</v>
      </c>
      <c r="AN6" s="55">
        <f t="shared" si="9"/>
        <v>72</v>
      </c>
      <c r="AO6" s="56">
        <f t="shared" si="7"/>
        <v>70.35</v>
      </c>
      <c r="AP6" s="57" t="str">
        <f t="shared" si="8"/>
        <v>C</v>
      </c>
    </row>
    <row r="7">
      <c r="A7" s="42">
        <v>4.0</v>
      </c>
      <c r="B7" s="43">
        <v>6.0200125007E10</v>
      </c>
      <c r="C7" s="44" t="s">
        <v>15</v>
      </c>
      <c r="D7" s="45">
        <v>1.0</v>
      </c>
      <c r="E7" s="45">
        <v>1.0</v>
      </c>
      <c r="F7" s="45">
        <v>1.0</v>
      </c>
      <c r="G7" s="45">
        <v>1.0</v>
      </c>
      <c r="H7" s="45">
        <v>1.0</v>
      </c>
      <c r="I7" s="45">
        <v>1.0</v>
      </c>
      <c r="J7" s="45">
        <v>1.0</v>
      </c>
      <c r="K7" s="45">
        <v>1.0</v>
      </c>
      <c r="L7" s="45">
        <f t="shared" si="1"/>
        <v>1</v>
      </c>
      <c r="M7" s="45">
        <v>1.0</v>
      </c>
      <c r="N7" s="46">
        <f t="shared" si="2"/>
        <v>10</v>
      </c>
      <c r="O7" s="46">
        <f t="shared" si="3"/>
        <v>100</v>
      </c>
      <c r="P7" s="47">
        <v>85.5</v>
      </c>
      <c r="Q7" s="47">
        <f>42.5 + 25</f>
        <v>67.5</v>
      </c>
      <c r="R7" s="47">
        <v>85.0</v>
      </c>
      <c r="S7" s="47">
        <v>85.5</v>
      </c>
      <c r="T7" s="47">
        <v>92.5</v>
      </c>
      <c r="U7" s="47">
        <v>90.0</v>
      </c>
      <c r="V7" s="47">
        <v>80.0</v>
      </c>
      <c r="W7" s="48">
        <f t="shared" si="4"/>
        <v>84</v>
      </c>
      <c r="X7" s="49">
        <v>87.0</v>
      </c>
      <c r="Y7" s="49">
        <v>88.0</v>
      </c>
      <c r="Z7" s="49">
        <v>84.0</v>
      </c>
      <c r="AA7" s="49">
        <v>80.0</v>
      </c>
      <c r="AB7" s="49">
        <v>86.0</v>
      </c>
      <c r="AC7" s="49">
        <v>88.0</v>
      </c>
      <c r="AD7" s="50">
        <f t="shared" si="5"/>
        <v>86</v>
      </c>
      <c r="AE7" s="51">
        <v>87.0</v>
      </c>
      <c r="AF7" s="51">
        <v>88.0</v>
      </c>
      <c r="AG7" s="51">
        <v>84.0</v>
      </c>
      <c r="AH7" s="51">
        <v>80.0</v>
      </c>
      <c r="AI7" s="51">
        <v>86.0</v>
      </c>
      <c r="AJ7" s="51">
        <v>88.0</v>
      </c>
      <c r="AK7" s="52">
        <f t="shared" si="6"/>
        <v>86</v>
      </c>
      <c r="AL7" s="53">
        <v>85.0</v>
      </c>
      <c r="AM7" s="54">
        <v>70.0</v>
      </c>
      <c r="AN7" s="55">
        <f t="shared" si="9"/>
        <v>79</v>
      </c>
      <c r="AO7" s="56">
        <f t="shared" si="7"/>
        <v>84.95</v>
      </c>
      <c r="AP7" s="57" t="str">
        <f t="shared" si="8"/>
        <v>B</v>
      </c>
    </row>
    <row r="8">
      <c r="A8" s="42">
        <v>5.0</v>
      </c>
      <c r="B8" s="43">
        <v>6.0200125016E10</v>
      </c>
      <c r="C8" s="44" t="s">
        <v>16</v>
      </c>
      <c r="D8" s="45">
        <v>1.0</v>
      </c>
      <c r="E8" s="45">
        <v>1.0</v>
      </c>
      <c r="F8" s="45">
        <v>1.0</v>
      </c>
      <c r="G8" s="45">
        <v>0.0</v>
      </c>
      <c r="H8" s="45">
        <v>0.0</v>
      </c>
      <c r="I8" s="45">
        <v>1.0</v>
      </c>
      <c r="J8" s="45">
        <v>1.0</v>
      </c>
      <c r="K8" s="45">
        <v>1.0</v>
      </c>
      <c r="L8" s="45">
        <f t="shared" si="1"/>
        <v>1</v>
      </c>
      <c r="M8" s="45">
        <v>1.0</v>
      </c>
      <c r="N8" s="46">
        <f t="shared" si="2"/>
        <v>8</v>
      </c>
      <c r="O8" s="46">
        <f t="shared" si="3"/>
        <v>80</v>
      </c>
      <c r="P8" s="47">
        <v>84.0</v>
      </c>
      <c r="Q8" s="47">
        <v>86.0</v>
      </c>
      <c r="R8" s="47">
        <v>85.0</v>
      </c>
      <c r="S8" s="47">
        <v>85.5</v>
      </c>
      <c r="T8" s="47">
        <v>90.0</v>
      </c>
      <c r="U8" s="47">
        <v>91.5</v>
      </c>
      <c r="V8" s="47">
        <v>80.0</v>
      </c>
      <c r="W8" s="48">
        <f t="shared" si="4"/>
        <v>86</v>
      </c>
      <c r="X8" s="49">
        <v>88.0</v>
      </c>
      <c r="Y8" s="49">
        <v>80.0</v>
      </c>
      <c r="Z8" s="49">
        <v>40.0</v>
      </c>
      <c r="AA8" s="49">
        <v>81.0</v>
      </c>
      <c r="AB8" s="49">
        <v>62.0</v>
      </c>
      <c r="AC8" s="49">
        <v>89.0</v>
      </c>
      <c r="AD8" s="50">
        <f t="shared" si="5"/>
        <v>73</v>
      </c>
      <c r="AE8" s="51">
        <v>88.0</v>
      </c>
      <c r="AF8" s="51">
        <v>80.0</v>
      </c>
      <c r="AG8" s="51">
        <v>0.0</v>
      </c>
      <c r="AH8" s="51">
        <v>0.0</v>
      </c>
      <c r="AI8" s="51">
        <v>62.0</v>
      </c>
      <c r="AJ8" s="51">
        <v>0.0</v>
      </c>
      <c r="AK8" s="52">
        <f t="shared" si="6"/>
        <v>38</v>
      </c>
      <c r="AL8" s="53">
        <v>78.0</v>
      </c>
      <c r="AM8" s="54">
        <v>80.0</v>
      </c>
      <c r="AN8" s="55">
        <f t="shared" si="9"/>
        <v>78.8</v>
      </c>
      <c r="AO8" s="56">
        <f t="shared" si="7"/>
        <v>74.45</v>
      </c>
      <c r="AP8" s="57" t="str">
        <f t="shared" si="8"/>
        <v>C</v>
      </c>
    </row>
    <row r="9">
      <c r="A9" s="42">
        <v>6.0</v>
      </c>
      <c r="B9" s="43">
        <v>6.0200125017E10</v>
      </c>
      <c r="C9" s="44" t="s">
        <v>17</v>
      </c>
      <c r="D9" s="45">
        <v>1.0</v>
      </c>
      <c r="E9" s="45">
        <v>1.0</v>
      </c>
      <c r="F9" s="45">
        <v>0.5</v>
      </c>
      <c r="G9" s="45">
        <v>0.5</v>
      </c>
      <c r="H9" s="45">
        <v>0.5</v>
      </c>
      <c r="I9" s="45">
        <v>0.5</v>
      </c>
      <c r="J9" s="45">
        <v>0.5</v>
      </c>
      <c r="K9" s="45">
        <v>0.5</v>
      </c>
      <c r="L9" s="45">
        <v>0.5</v>
      </c>
      <c r="M9" s="45">
        <v>0.5</v>
      </c>
      <c r="N9" s="46">
        <f t="shared" si="2"/>
        <v>6</v>
      </c>
      <c r="O9" s="46">
        <f t="shared" si="3"/>
        <v>60</v>
      </c>
      <c r="P9" s="47">
        <v>83.0</v>
      </c>
      <c r="Q9" s="47">
        <v>0.0</v>
      </c>
      <c r="R9" s="47">
        <v>0.0</v>
      </c>
      <c r="S9" s="47">
        <v>0.0</v>
      </c>
      <c r="T9" s="47">
        <v>0.0</v>
      </c>
      <c r="U9" s="47">
        <v>0.0</v>
      </c>
      <c r="V9" s="47">
        <v>65.0</v>
      </c>
      <c r="W9" s="48">
        <f t="shared" si="4"/>
        <v>21</v>
      </c>
      <c r="X9" s="49">
        <v>80.0</v>
      </c>
      <c r="Y9" s="49">
        <v>0.0</v>
      </c>
      <c r="Z9" s="49">
        <v>0.0</v>
      </c>
      <c r="AA9" s="49">
        <v>0.0</v>
      </c>
      <c r="AB9" s="49">
        <v>0.0</v>
      </c>
      <c r="AC9" s="49">
        <v>0.0</v>
      </c>
      <c r="AD9" s="50">
        <f t="shared" si="5"/>
        <v>13</v>
      </c>
      <c r="AE9" s="51">
        <v>80.0</v>
      </c>
      <c r="AF9" s="51">
        <v>0.0</v>
      </c>
      <c r="AG9" s="51">
        <v>0.0</v>
      </c>
      <c r="AH9" s="51">
        <v>0.0</v>
      </c>
      <c r="AI9" s="51">
        <v>0.0</v>
      </c>
      <c r="AJ9" s="51">
        <v>0.0</v>
      </c>
      <c r="AK9" s="52">
        <f t="shared" si="6"/>
        <v>13</v>
      </c>
      <c r="AL9" s="53">
        <v>0.0</v>
      </c>
      <c r="AM9" s="53">
        <v>0.0</v>
      </c>
      <c r="AN9" s="55">
        <f t="shared" si="9"/>
        <v>0</v>
      </c>
      <c r="AO9" s="56">
        <f t="shared" si="7"/>
        <v>17.25</v>
      </c>
      <c r="AP9" s="41" t="str">
        <f t="shared" si="8"/>
        <v>E</v>
      </c>
    </row>
    <row r="10">
      <c r="A10" s="30">
        <v>7.0</v>
      </c>
      <c r="B10" s="31">
        <v>6.0200125018E10</v>
      </c>
      <c r="C10" s="32" t="s">
        <v>18</v>
      </c>
      <c r="D10" s="33">
        <v>0.0</v>
      </c>
      <c r="E10" s="33">
        <v>0.0</v>
      </c>
      <c r="F10" s="33">
        <v>0.0</v>
      </c>
      <c r="G10" s="33">
        <v>0.0</v>
      </c>
      <c r="H10" s="33">
        <v>0.0</v>
      </c>
      <c r="I10" s="33">
        <v>0.0</v>
      </c>
      <c r="J10" s="33">
        <v>0.0</v>
      </c>
      <c r="K10" s="33">
        <v>0.0</v>
      </c>
      <c r="L10" s="33">
        <f t="shared" ref="L10:L29" si="10">IF(AL10&gt;1,1,0)</f>
        <v>0</v>
      </c>
      <c r="M10" s="33">
        <v>0.0</v>
      </c>
      <c r="N10" s="34">
        <f t="shared" si="2"/>
        <v>0</v>
      </c>
      <c r="O10" s="34">
        <f t="shared" si="3"/>
        <v>0</v>
      </c>
      <c r="P10" s="58">
        <v>0.0</v>
      </c>
      <c r="Q10" s="58">
        <v>0.0</v>
      </c>
      <c r="R10" s="58">
        <v>0.0</v>
      </c>
      <c r="S10" s="58">
        <v>0.0</v>
      </c>
      <c r="T10" s="58">
        <v>0.0</v>
      </c>
      <c r="U10" s="58">
        <v>0.0</v>
      </c>
      <c r="V10" s="58">
        <f>IF(I10 = 1,70,0)</f>
        <v>0</v>
      </c>
      <c r="W10" s="37">
        <f t="shared" si="4"/>
        <v>0</v>
      </c>
      <c r="X10" s="58">
        <v>0.0</v>
      </c>
      <c r="Y10" s="58">
        <v>0.0</v>
      </c>
      <c r="Z10" s="58">
        <v>0.0</v>
      </c>
      <c r="AA10" s="58">
        <v>0.0</v>
      </c>
      <c r="AB10" s="58">
        <v>0.0</v>
      </c>
      <c r="AC10" s="58"/>
      <c r="AD10" s="37">
        <f t="shared" si="5"/>
        <v>0</v>
      </c>
      <c r="AE10" s="58">
        <v>0.0</v>
      </c>
      <c r="AF10" s="58">
        <v>0.0</v>
      </c>
      <c r="AG10" s="58">
        <v>0.0</v>
      </c>
      <c r="AH10" s="58">
        <v>0.0</v>
      </c>
      <c r="AI10" s="58">
        <v>0.0</v>
      </c>
      <c r="AJ10" s="58">
        <v>0.0</v>
      </c>
      <c r="AK10" s="37">
        <f t="shared" si="6"/>
        <v>0</v>
      </c>
      <c r="AL10" s="38">
        <v>0.0</v>
      </c>
      <c r="AM10" s="39">
        <v>0.0</v>
      </c>
      <c r="AN10" s="38">
        <f t="shared" si="9"/>
        <v>0</v>
      </c>
      <c r="AO10" s="40">
        <f t="shared" si="7"/>
        <v>0</v>
      </c>
      <c r="AP10" s="41" t="str">
        <f t="shared" si="8"/>
        <v>E</v>
      </c>
    </row>
    <row r="11">
      <c r="A11" s="59">
        <v>8.0</v>
      </c>
      <c r="B11" s="43">
        <v>6.0200125031E10</v>
      </c>
      <c r="C11" s="44" t="s">
        <v>19</v>
      </c>
      <c r="D11" s="45">
        <v>1.0</v>
      </c>
      <c r="E11" s="45">
        <v>1.0</v>
      </c>
      <c r="F11" s="45">
        <v>1.0</v>
      </c>
      <c r="G11" s="45">
        <v>0.5</v>
      </c>
      <c r="H11" s="45">
        <v>0.0</v>
      </c>
      <c r="I11" s="45">
        <v>1.0</v>
      </c>
      <c r="J11" s="45">
        <v>1.0</v>
      </c>
      <c r="K11" s="45">
        <v>1.0</v>
      </c>
      <c r="L11" s="45">
        <f t="shared" si="10"/>
        <v>1</v>
      </c>
      <c r="M11" s="45">
        <v>1.0</v>
      </c>
      <c r="N11" s="46">
        <f t="shared" si="2"/>
        <v>8.5</v>
      </c>
      <c r="O11" s="46">
        <f t="shared" si="3"/>
        <v>85</v>
      </c>
      <c r="P11" s="47">
        <v>87.0</v>
      </c>
      <c r="Q11" s="47">
        <v>50.0</v>
      </c>
      <c r="R11" s="47">
        <v>50.0</v>
      </c>
      <c r="S11" s="47">
        <v>86.5</v>
      </c>
      <c r="T11" s="47">
        <v>91.0</v>
      </c>
      <c r="U11" s="47">
        <v>89.5</v>
      </c>
      <c r="V11" s="47">
        <v>80.0</v>
      </c>
      <c r="W11" s="48">
        <f t="shared" si="4"/>
        <v>76</v>
      </c>
      <c r="X11" s="49">
        <v>80.0</v>
      </c>
      <c r="Y11" s="49">
        <v>83.0</v>
      </c>
      <c r="Z11" s="49">
        <v>40.0</v>
      </c>
      <c r="AA11" s="49">
        <v>40.0</v>
      </c>
      <c r="AB11" s="49">
        <v>83.0</v>
      </c>
      <c r="AC11" s="49">
        <v>84.0</v>
      </c>
      <c r="AD11" s="50">
        <f t="shared" si="5"/>
        <v>68</v>
      </c>
      <c r="AE11" s="51">
        <v>80.0</v>
      </c>
      <c r="AF11" s="51">
        <v>83.0</v>
      </c>
      <c r="AG11" s="51">
        <v>0.0</v>
      </c>
      <c r="AH11" s="51">
        <v>0.0</v>
      </c>
      <c r="AI11" s="51">
        <v>83.0</v>
      </c>
      <c r="AJ11" s="51">
        <v>84.0</v>
      </c>
      <c r="AK11" s="52">
        <f t="shared" si="6"/>
        <v>55</v>
      </c>
      <c r="AL11" s="53">
        <v>78.0</v>
      </c>
      <c r="AM11" s="54">
        <v>86.0</v>
      </c>
      <c r="AN11" s="55">
        <f t="shared" si="9"/>
        <v>81.2</v>
      </c>
      <c r="AO11" s="56">
        <f t="shared" si="7"/>
        <v>73.85</v>
      </c>
      <c r="AP11" s="57" t="str">
        <f t="shared" si="8"/>
        <v>C</v>
      </c>
    </row>
    <row r="12">
      <c r="A12" s="42">
        <v>9.0</v>
      </c>
      <c r="B12" s="43">
        <v>6.0200125032E10</v>
      </c>
      <c r="C12" s="44" t="s">
        <v>20</v>
      </c>
      <c r="D12" s="45">
        <v>1.0</v>
      </c>
      <c r="E12" s="45">
        <v>1.0</v>
      </c>
      <c r="F12" s="45">
        <v>1.0</v>
      </c>
      <c r="G12" s="45">
        <v>1.0</v>
      </c>
      <c r="H12" s="45">
        <v>1.0</v>
      </c>
      <c r="I12" s="45">
        <v>0.0</v>
      </c>
      <c r="J12" s="45">
        <v>1.0</v>
      </c>
      <c r="K12" s="45">
        <v>1.0</v>
      </c>
      <c r="L12" s="45">
        <f t="shared" si="10"/>
        <v>1</v>
      </c>
      <c r="M12" s="45">
        <v>1.0</v>
      </c>
      <c r="N12" s="46">
        <f t="shared" si="2"/>
        <v>9</v>
      </c>
      <c r="O12" s="46">
        <f t="shared" si="3"/>
        <v>90</v>
      </c>
      <c r="P12" s="47">
        <v>84.5</v>
      </c>
      <c r="Q12" s="47">
        <v>82.5</v>
      </c>
      <c r="R12" s="47">
        <v>85.5</v>
      </c>
      <c r="S12" s="47">
        <v>86.5</v>
      </c>
      <c r="T12" s="47">
        <v>66.5</v>
      </c>
      <c r="U12" s="47">
        <v>91.0</v>
      </c>
      <c r="V12" s="47">
        <v>65.0</v>
      </c>
      <c r="W12" s="48">
        <f t="shared" si="4"/>
        <v>80</v>
      </c>
      <c r="X12" s="49">
        <v>86.0</v>
      </c>
      <c r="Y12" s="49">
        <v>85.0</v>
      </c>
      <c r="Z12" s="49">
        <v>86.0</v>
      </c>
      <c r="AA12" s="49">
        <v>82.0</v>
      </c>
      <c r="AB12" s="49">
        <v>64.0</v>
      </c>
      <c r="AC12" s="49">
        <v>84.5</v>
      </c>
      <c r="AD12" s="50">
        <f t="shared" si="5"/>
        <v>81</v>
      </c>
      <c r="AE12" s="51">
        <v>86.0</v>
      </c>
      <c r="AF12" s="51">
        <v>85.0</v>
      </c>
      <c r="AG12" s="51">
        <v>86.0</v>
      </c>
      <c r="AH12" s="51">
        <v>82.0</v>
      </c>
      <c r="AI12" s="51">
        <v>64.0</v>
      </c>
      <c r="AJ12" s="51">
        <v>84.0</v>
      </c>
      <c r="AK12" s="52">
        <f t="shared" si="6"/>
        <v>81</v>
      </c>
      <c r="AL12" s="53">
        <v>86.0</v>
      </c>
      <c r="AM12" s="54">
        <v>75.0</v>
      </c>
      <c r="AN12" s="55">
        <f t="shared" si="9"/>
        <v>81.6</v>
      </c>
      <c r="AO12" s="56">
        <f t="shared" si="7"/>
        <v>81.7</v>
      </c>
      <c r="AP12" s="57" t="str">
        <f t="shared" si="8"/>
        <v>B</v>
      </c>
    </row>
    <row r="13">
      <c r="A13" s="42">
        <v>10.0</v>
      </c>
      <c r="B13" s="43">
        <v>6.0200125033E10</v>
      </c>
      <c r="C13" s="44" t="s">
        <v>21</v>
      </c>
      <c r="D13" s="45">
        <v>1.0</v>
      </c>
      <c r="E13" s="45">
        <v>1.0</v>
      </c>
      <c r="F13" s="45">
        <v>1.0</v>
      </c>
      <c r="G13" s="45">
        <v>1.0</v>
      </c>
      <c r="H13" s="45">
        <v>1.0</v>
      </c>
      <c r="I13" s="45">
        <v>1.0</v>
      </c>
      <c r="J13" s="45">
        <v>1.0</v>
      </c>
      <c r="K13" s="45">
        <v>1.0</v>
      </c>
      <c r="L13" s="45">
        <f t="shared" si="10"/>
        <v>1</v>
      </c>
      <c r="M13" s="45">
        <v>1.0</v>
      </c>
      <c r="N13" s="46">
        <f t="shared" si="2"/>
        <v>10</v>
      </c>
      <c r="O13" s="46">
        <f t="shared" si="3"/>
        <v>100</v>
      </c>
      <c r="P13" s="47">
        <v>88.0</v>
      </c>
      <c r="Q13" s="47">
        <v>83.0</v>
      </c>
      <c r="R13" s="47">
        <v>87.5</v>
      </c>
      <c r="S13" s="47">
        <v>86.5</v>
      </c>
      <c r="T13" s="47">
        <v>92.5</v>
      </c>
      <c r="U13" s="47">
        <v>91.0</v>
      </c>
      <c r="V13" s="47">
        <v>90.0</v>
      </c>
      <c r="W13" s="48">
        <f t="shared" si="4"/>
        <v>88</v>
      </c>
      <c r="X13" s="49">
        <v>80.0</v>
      </c>
      <c r="Y13" s="49">
        <v>90.0</v>
      </c>
      <c r="Z13" s="49">
        <v>85.0</v>
      </c>
      <c r="AA13" s="49">
        <v>85.0</v>
      </c>
      <c r="AB13" s="49">
        <v>85.0</v>
      </c>
      <c r="AC13" s="49">
        <v>88.0</v>
      </c>
      <c r="AD13" s="50">
        <f t="shared" si="5"/>
        <v>86</v>
      </c>
      <c r="AE13" s="51">
        <v>80.0</v>
      </c>
      <c r="AF13" s="51">
        <v>90.0</v>
      </c>
      <c r="AG13" s="51">
        <v>85.0</v>
      </c>
      <c r="AH13" s="51">
        <v>0.0</v>
      </c>
      <c r="AI13" s="51">
        <v>85.0</v>
      </c>
      <c r="AJ13" s="51">
        <v>88.0</v>
      </c>
      <c r="AK13" s="52">
        <f t="shared" si="6"/>
        <v>71</v>
      </c>
      <c r="AL13" s="53">
        <v>87.0</v>
      </c>
      <c r="AM13" s="54">
        <v>95.0</v>
      </c>
      <c r="AN13" s="55">
        <f t="shared" si="9"/>
        <v>90.2</v>
      </c>
      <c r="AO13" s="56">
        <f t="shared" si="7"/>
        <v>86.9</v>
      </c>
      <c r="AP13" s="57" t="str">
        <f t="shared" si="8"/>
        <v>A</v>
      </c>
    </row>
    <row r="14">
      <c r="A14" s="42">
        <v>11.0</v>
      </c>
      <c r="B14" s="43">
        <v>6.0200125034E10</v>
      </c>
      <c r="C14" s="44" t="s">
        <v>22</v>
      </c>
      <c r="D14" s="45">
        <v>1.0</v>
      </c>
      <c r="E14" s="45">
        <v>1.0</v>
      </c>
      <c r="F14" s="45">
        <v>0.0</v>
      </c>
      <c r="G14" s="45">
        <v>1.0</v>
      </c>
      <c r="H14" s="45">
        <v>1.0</v>
      </c>
      <c r="I14" s="45">
        <v>1.0</v>
      </c>
      <c r="J14" s="45">
        <v>1.0</v>
      </c>
      <c r="K14" s="45">
        <v>1.0</v>
      </c>
      <c r="L14" s="45">
        <f t="shared" si="10"/>
        <v>1</v>
      </c>
      <c r="M14" s="45">
        <v>1.0</v>
      </c>
      <c r="N14" s="46">
        <f t="shared" si="2"/>
        <v>9</v>
      </c>
      <c r="O14" s="46">
        <f t="shared" si="3"/>
        <v>90</v>
      </c>
      <c r="P14" s="47">
        <v>84.0</v>
      </c>
      <c r="Q14" s="47">
        <f>43+25</f>
        <v>68</v>
      </c>
      <c r="R14" s="47">
        <f>42.5 + 25</f>
        <v>67.5</v>
      </c>
      <c r="S14" s="47">
        <v>86.5</v>
      </c>
      <c r="T14" s="47">
        <v>92.5</v>
      </c>
      <c r="U14" s="47">
        <v>90.5</v>
      </c>
      <c r="V14" s="47">
        <v>80.0</v>
      </c>
      <c r="W14" s="48">
        <f t="shared" si="4"/>
        <v>81</v>
      </c>
      <c r="X14" s="49">
        <v>88.0</v>
      </c>
      <c r="Y14" s="49">
        <v>90.0</v>
      </c>
      <c r="Z14" s="49">
        <v>85.0</v>
      </c>
      <c r="AA14" s="49">
        <v>83.0</v>
      </c>
      <c r="AB14" s="49">
        <v>67.0</v>
      </c>
      <c r="AC14" s="49">
        <v>82.0</v>
      </c>
      <c r="AD14" s="50">
        <f t="shared" si="5"/>
        <v>83</v>
      </c>
      <c r="AE14" s="51">
        <v>87.0</v>
      </c>
      <c r="AF14" s="51">
        <v>0.0</v>
      </c>
      <c r="AG14" s="51">
        <v>85.0</v>
      </c>
      <c r="AH14" s="51">
        <v>83.0</v>
      </c>
      <c r="AI14" s="51">
        <v>67.0</v>
      </c>
      <c r="AJ14" s="51">
        <v>82.0</v>
      </c>
      <c r="AK14" s="52">
        <f t="shared" si="6"/>
        <v>67</v>
      </c>
      <c r="AL14" s="53">
        <v>80.0</v>
      </c>
      <c r="AM14" s="54">
        <v>70.0</v>
      </c>
      <c r="AN14" s="55">
        <f t="shared" si="9"/>
        <v>76</v>
      </c>
      <c r="AO14" s="56">
        <f t="shared" si="7"/>
        <v>78.85</v>
      </c>
      <c r="AP14" s="57" t="str">
        <f t="shared" si="8"/>
        <v>B</v>
      </c>
    </row>
    <row r="15">
      <c r="A15" s="30">
        <v>12.0</v>
      </c>
      <c r="B15" s="31">
        <v>6.0200125047E10</v>
      </c>
      <c r="C15" s="32" t="s">
        <v>23</v>
      </c>
      <c r="D15" s="33">
        <v>0.0</v>
      </c>
      <c r="E15" s="33">
        <v>0.0</v>
      </c>
      <c r="F15" s="33">
        <v>0.0</v>
      </c>
      <c r="G15" s="33">
        <v>0.0</v>
      </c>
      <c r="H15" s="33">
        <v>0.0</v>
      </c>
      <c r="I15" s="33">
        <v>0.0</v>
      </c>
      <c r="J15" s="33">
        <v>0.0</v>
      </c>
      <c r="K15" s="33">
        <v>0.0</v>
      </c>
      <c r="L15" s="33">
        <f t="shared" si="10"/>
        <v>0</v>
      </c>
      <c r="M15" s="33">
        <v>0.0</v>
      </c>
      <c r="N15" s="34">
        <f t="shared" si="2"/>
        <v>0</v>
      </c>
      <c r="O15" s="34">
        <f t="shared" si="3"/>
        <v>0</v>
      </c>
      <c r="P15" s="58">
        <v>0.0</v>
      </c>
      <c r="Q15" s="58">
        <v>0.0</v>
      </c>
      <c r="R15" s="58">
        <v>0.0</v>
      </c>
      <c r="S15" s="58">
        <v>0.0</v>
      </c>
      <c r="T15" s="58">
        <v>0.0</v>
      </c>
      <c r="U15" s="58">
        <v>0.0</v>
      </c>
      <c r="V15" s="58">
        <f>IF(I15 = 1,70,0)</f>
        <v>0</v>
      </c>
      <c r="W15" s="37">
        <f t="shared" si="4"/>
        <v>0</v>
      </c>
      <c r="X15" s="58">
        <v>0.0</v>
      </c>
      <c r="Y15" s="58">
        <v>0.0</v>
      </c>
      <c r="Z15" s="58">
        <v>0.0</v>
      </c>
      <c r="AA15" s="58">
        <v>0.0</v>
      </c>
      <c r="AB15" s="58">
        <v>0.0</v>
      </c>
      <c r="AC15" s="58"/>
      <c r="AD15" s="37">
        <f t="shared" si="5"/>
        <v>0</v>
      </c>
      <c r="AE15" s="58">
        <v>0.0</v>
      </c>
      <c r="AF15" s="58">
        <v>0.0</v>
      </c>
      <c r="AG15" s="58">
        <v>0.0</v>
      </c>
      <c r="AH15" s="58">
        <v>0.0</v>
      </c>
      <c r="AI15" s="58">
        <v>0.0</v>
      </c>
      <c r="AJ15" s="58">
        <v>0.0</v>
      </c>
      <c r="AK15" s="37">
        <f t="shared" si="6"/>
        <v>0</v>
      </c>
      <c r="AL15" s="38">
        <v>0.0</v>
      </c>
      <c r="AM15" s="39">
        <v>0.0</v>
      </c>
      <c r="AN15" s="38">
        <f t="shared" si="9"/>
        <v>0</v>
      </c>
      <c r="AO15" s="40">
        <f t="shared" si="7"/>
        <v>0</v>
      </c>
      <c r="AP15" s="41" t="str">
        <f t="shared" si="8"/>
        <v>E</v>
      </c>
    </row>
    <row r="16">
      <c r="A16" s="42">
        <v>13.0</v>
      </c>
      <c r="B16" s="43">
        <v>6.0200125049E10</v>
      </c>
      <c r="C16" s="44" t="s">
        <v>24</v>
      </c>
      <c r="D16" s="45">
        <v>1.0</v>
      </c>
      <c r="E16" s="45">
        <v>1.0</v>
      </c>
      <c r="F16" s="45">
        <v>1.0</v>
      </c>
      <c r="G16" s="45">
        <v>1.0</v>
      </c>
      <c r="H16" s="45">
        <v>1.0</v>
      </c>
      <c r="I16" s="45">
        <v>1.0</v>
      </c>
      <c r="J16" s="45">
        <v>1.0</v>
      </c>
      <c r="K16" s="45">
        <v>1.0</v>
      </c>
      <c r="L16" s="45">
        <f t="shared" si="10"/>
        <v>1</v>
      </c>
      <c r="M16" s="45">
        <v>1.0</v>
      </c>
      <c r="N16" s="46">
        <f t="shared" si="2"/>
        <v>10</v>
      </c>
      <c r="O16" s="46">
        <f t="shared" si="3"/>
        <v>100</v>
      </c>
      <c r="P16" s="47">
        <v>83.5</v>
      </c>
      <c r="Q16" s="47">
        <f t="shared" ref="Q16:R16" si="11">42.5 + 25</f>
        <v>67.5</v>
      </c>
      <c r="R16" s="47">
        <f t="shared" si="11"/>
        <v>67.5</v>
      </c>
      <c r="S16" s="47">
        <v>86.5</v>
      </c>
      <c r="T16" s="47">
        <v>91.0</v>
      </c>
      <c r="U16" s="47">
        <v>91.5</v>
      </c>
      <c r="V16" s="47">
        <v>80.0</v>
      </c>
      <c r="W16" s="48">
        <f t="shared" si="4"/>
        <v>81</v>
      </c>
      <c r="X16" s="49">
        <v>90.0</v>
      </c>
      <c r="Y16" s="49">
        <v>90.0</v>
      </c>
      <c r="Z16" s="49">
        <v>85.0</v>
      </c>
      <c r="AA16" s="49">
        <v>85.0</v>
      </c>
      <c r="AB16" s="49">
        <v>86.0</v>
      </c>
      <c r="AC16" s="49">
        <v>88.0</v>
      </c>
      <c r="AD16" s="50">
        <f t="shared" si="5"/>
        <v>87</v>
      </c>
      <c r="AE16" s="51">
        <v>90.0</v>
      </c>
      <c r="AF16" s="51">
        <v>90.0</v>
      </c>
      <c r="AG16" s="51">
        <v>85.0</v>
      </c>
      <c r="AH16" s="51">
        <v>0.0</v>
      </c>
      <c r="AI16" s="51">
        <v>86.0</v>
      </c>
      <c r="AJ16" s="51">
        <v>88.0</v>
      </c>
      <c r="AK16" s="52">
        <f t="shared" si="6"/>
        <v>73</v>
      </c>
      <c r="AL16" s="53">
        <v>84.0</v>
      </c>
      <c r="AM16" s="54">
        <v>80.0</v>
      </c>
      <c r="AN16" s="55">
        <f t="shared" si="9"/>
        <v>82.4</v>
      </c>
      <c r="AO16" s="56">
        <f t="shared" si="7"/>
        <v>82.95</v>
      </c>
      <c r="AP16" s="57" t="str">
        <f t="shared" si="8"/>
        <v>B</v>
      </c>
    </row>
    <row r="17">
      <c r="A17" s="42">
        <v>14.0</v>
      </c>
      <c r="B17" s="43">
        <v>6.020012505E10</v>
      </c>
      <c r="C17" s="44" t="s">
        <v>25</v>
      </c>
      <c r="D17" s="45">
        <v>1.0</v>
      </c>
      <c r="E17" s="45">
        <v>1.0</v>
      </c>
      <c r="F17" s="45">
        <v>1.0</v>
      </c>
      <c r="G17" s="45">
        <v>1.0</v>
      </c>
      <c r="H17" s="45">
        <v>1.0</v>
      </c>
      <c r="I17" s="45">
        <v>0.0</v>
      </c>
      <c r="J17" s="45">
        <v>1.0</v>
      </c>
      <c r="K17" s="45">
        <v>1.0</v>
      </c>
      <c r="L17" s="45">
        <f t="shared" si="10"/>
        <v>1</v>
      </c>
      <c r="M17" s="45">
        <v>1.0</v>
      </c>
      <c r="N17" s="46">
        <f t="shared" si="2"/>
        <v>9</v>
      </c>
      <c r="O17" s="46">
        <f t="shared" si="3"/>
        <v>90</v>
      </c>
      <c r="P17" s="47">
        <v>84.5</v>
      </c>
      <c r="Q17" s="47">
        <v>85.5</v>
      </c>
      <c r="R17" s="47">
        <v>88.5</v>
      </c>
      <c r="S17" s="47">
        <v>86.0</v>
      </c>
      <c r="T17" s="47">
        <v>89.0</v>
      </c>
      <c r="U17" s="47">
        <v>90.0</v>
      </c>
      <c r="V17" s="47">
        <v>65.0</v>
      </c>
      <c r="W17" s="48">
        <f t="shared" si="4"/>
        <v>84</v>
      </c>
      <c r="X17" s="49">
        <v>86.0</v>
      </c>
      <c r="Y17" s="49">
        <v>80.0</v>
      </c>
      <c r="Z17" s="49">
        <v>86.0</v>
      </c>
      <c r="AA17" s="49">
        <v>81.0</v>
      </c>
      <c r="AB17" s="49">
        <v>86.0</v>
      </c>
      <c r="AC17" s="49">
        <v>88.0</v>
      </c>
      <c r="AD17" s="50">
        <f t="shared" si="5"/>
        <v>85</v>
      </c>
      <c r="AE17" s="51">
        <v>86.0</v>
      </c>
      <c r="AF17" s="51">
        <v>80.0</v>
      </c>
      <c r="AG17" s="51">
        <v>86.0</v>
      </c>
      <c r="AH17" s="51">
        <v>0.0</v>
      </c>
      <c r="AI17" s="51">
        <v>88.0</v>
      </c>
      <c r="AJ17" s="51">
        <v>0.0</v>
      </c>
      <c r="AK17" s="52">
        <f t="shared" si="6"/>
        <v>57</v>
      </c>
      <c r="AL17" s="53">
        <v>75.0</v>
      </c>
      <c r="AM17" s="54">
        <v>86.0</v>
      </c>
      <c r="AN17" s="55">
        <f t="shared" si="9"/>
        <v>79.4</v>
      </c>
      <c r="AO17" s="56">
        <f t="shared" si="7"/>
        <v>79.55</v>
      </c>
      <c r="AP17" s="57" t="str">
        <f t="shared" si="8"/>
        <v>B</v>
      </c>
    </row>
    <row r="18">
      <c r="A18" s="42">
        <v>15.0</v>
      </c>
      <c r="B18" s="43">
        <v>6.0200125051E10</v>
      </c>
      <c r="C18" s="44" t="s">
        <v>26</v>
      </c>
      <c r="D18" s="45">
        <v>1.0</v>
      </c>
      <c r="E18" s="45">
        <v>1.0</v>
      </c>
      <c r="F18" s="45">
        <v>1.0</v>
      </c>
      <c r="G18" s="45">
        <v>1.0</v>
      </c>
      <c r="H18" s="45">
        <v>0.0</v>
      </c>
      <c r="I18" s="45">
        <v>0.0</v>
      </c>
      <c r="J18" s="45">
        <v>0.0</v>
      </c>
      <c r="K18" s="45">
        <v>0.0</v>
      </c>
      <c r="L18" s="45">
        <f t="shared" si="10"/>
        <v>0</v>
      </c>
      <c r="M18" s="45">
        <v>0.0</v>
      </c>
      <c r="N18" s="46">
        <f t="shared" si="2"/>
        <v>4</v>
      </c>
      <c r="O18" s="46">
        <f t="shared" si="3"/>
        <v>40</v>
      </c>
      <c r="P18" s="47">
        <v>85.0</v>
      </c>
      <c r="Q18" s="47">
        <v>0.0</v>
      </c>
      <c r="R18" s="47">
        <v>0.0</v>
      </c>
      <c r="S18" s="47">
        <v>0.0</v>
      </c>
      <c r="T18" s="47">
        <v>0.0</v>
      </c>
      <c r="U18" s="47">
        <v>0.0</v>
      </c>
      <c r="V18" s="47">
        <v>65.0</v>
      </c>
      <c r="W18" s="48">
        <f t="shared" si="4"/>
        <v>21</v>
      </c>
      <c r="X18" s="49">
        <v>80.0</v>
      </c>
      <c r="Y18" s="49">
        <v>85.0</v>
      </c>
      <c r="Z18" s="49">
        <v>0.0</v>
      </c>
      <c r="AA18" s="49">
        <v>0.0</v>
      </c>
      <c r="AB18" s="49">
        <v>0.0</v>
      </c>
      <c r="AC18" s="49">
        <v>0.0</v>
      </c>
      <c r="AD18" s="50">
        <f t="shared" si="5"/>
        <v>28</v>
      </c>
      <c r="AE18" s="51">
        <v>80.0</v>
      </c>
      <c r="AF18" s="51">
        <v>85.0</v>
      </c>
      <c r="AG18" s="51">
        <v>0.0</v>
      </c>
      <c r="AH18" s="51">
        <v>0.0</v>
      </c>
      <c r="AI18" s="51">
        <v>0.0</v>
      </c>
      <c r="AJ18" s="51">
        <v>0.0</v>
      </c>
      <c r="AK18" s="52">
        <f t="shared" si="6"/>
        <v>28</v>
      </c>
      <c r="AL18" s="55">
        <v>0.0</v>
      </c>
      <c r="AM18" s="54">
        <v>80.0</v>
      </c>
      <c r="AN18" s="55">
        <f t="shared" si="9"/>
        <v>32</v>
      </c>
      <c r="AO18" s="56">
        <f t="shared" si="7"/>
        <v>27.75</v>
      </c>
      <c r="AP18" s="41" t="str">
        <f t="shared" si="8"/>
        <v>E</v>
      </c>
    </row>
    <row r="19">
      <c r="A19" s="42">
        <v>16.0</v>
      </c>
      <c r="B19" s="43">
        <v>6.0200125053E10</v>
      </c>
      <c r="C19" s="44" t="s">
        <v>27</v>
      </c>
      <c r="D19" s="45">
        <v>1.0</v>
      </c>
      <c r="E19" s="45">
        <v>1.0</v>
      </c>
      <c r="F19" s="45">
        <v>1.0</v>
      </c>
      <c r="G19" s="45">
        <v>1.0</v>
      </c>
      <c r="H19" s="45">
        <v>1.0</v>
      </c>
      <c r="I19" s="45">
        <v>1.0</v>
      </c>
      <c r="J19" s="45">
        <v>1.0</v>
      </c>
      <c r="K19" s="45">
        <v>1.0</v>
      </c>
      <c r="L19" s="45">
        <f t="shared" si="10"/>
        <v>1</v>
      </c>
      <c r="M19" s="45">
        <v>1.0</v>
      </c>
      <c r="N19" s="46">
        <f t="shared" si="2"/>
        <v>10</v>
      </c>
      <c r="O19" s="46">
        <f t="shared" si="3"/>
        <v>100</v>
      </c>
      <c r="P19" s="47">
        <v>81.0</v>
      </c>
      <c r="Q19" s="47">
        <v>50.0</v>
      </c>
      <c r="R19" s="47">
        <v>66.5</v>
      </c>
      <c r="S19" s="47">
        <v>84.5</v>
      </c>
      <c r="T19" s="47">
        <v>86.0</v>
      </c>
      <c r="U19" s="47">
        <v>90.0</v>
      </c>
      <c r="V19" s="47">
        <v>80.0</v>
      </c>
      <c r="W19" s="48">
        <f t="shared" si="4"/>
        <v>77</v>
      </c>
      <c r="X19" s="49">
        <v>85.0</v>
      </c>
      <c r="Y19" s="49">
        <v>83.0</v>
      </c>
      <c r="Z19" s="49">
        <v>82.0</v>
      </c>
      <c r="AA19" s="49">
        <v>81.0</v>
      </c>
      <c r="AB19" s="49">
        <v>84.0</v>
      </c>
      <c r="AC19" s="49">
        <v>88.0</v>
      </c>
      <c r="AD19" s="50">
        <f t="shared" si="5"/>
        <v>84</v>
      </c>
      <c r="AE19" s="51">
        <v>85.0</v>
      </c>
      <c r="AF19" s="51">
        <v>83.0</v>
      </c>
      <c r="AG19" s="51">
        <v>82.0</v>
      </c>
      <c r="AH19" s="51">
        <v>81.0</v>
      </c>
      <c r="AI19" s="51">
        <v>84.0</v>
      </c>
      <c r="AJ19" s="51">
        <v>88.0</v>
      </c>
      <c r="AK19" s="52">
        <f t="shared" si="6"/>
        <v>84</v>
      </c>
      <c r="AL19" s="55">
        <v>70.0</v>
      </c>
      <c r="AM19" s="54">
        <v>75.0</v>
      </c>
      <c r="AN19" s="55">
        <f t="shared" si="9"/>
        <v>72</v>
      </c>
      <c r="AO19" s="56">
        <f t="shared" si="7"/>
        <v>80.15</v>
      </c>
      <c r="AP19" s="57" t="str">
        <f t="shared" si="8"/>
        <v>B</v>
      </c>
    </row>
    <row r="20">
      <c r="A20" s="42">
        <v>17.0</v>
      </c>
      <c r="B20" s="43">
        <v>6.0200125074E10</v>
      </c>
      <c r="C20" s="44" t="s">
        <v>28</v>
      </c>
      <c r="D20" s="45">
        <v>1.0</v>
      </c>
      <c r="E20" s="45">
        <v>1.0</v>
      </c>
      <c r="F20" s="45">
        <v>1.0</v>
      </c>
      <c r="G20" s="45">
        <v>1.0</v>
      </c>
      <c r="H20" s="45">
        <v>1.0</v>
      </c>
      <c r="I20" s="45">
        <v>1.0</v>
      </c>
      <c r="J20" s="45">
        <v>1.0</v>
      </c>
      <c r="K20" s="45">
        <v>1.0</v>
      </c>
      <c r="L20" s="45">
        <f t="shared" si="10"/>
        <v>1</v>
      </c>
      <c r="M20" s="45">
        <v>1.0</v>
      </c>
      <c r="N20" s="46">
        <f t="shared" si="2"/>
        <v>10</v>
      </c>
      <c r="O20" s="46">
        <f t="shared" si="3"/>
        <v>100</v>
      </c>
      <c r="P20" s="47">
        <v>84.0</v>
      </c>
      <c r="Q20" s="47">
        <f>42.5 + 25</f>
        <v>67.5</v>
      </c>
      <c r="R20" s="47">
        <v>87.5</v>
      </c>
      <c r="S20" s="47">
        <v>88.0</v>
      </c>
      <c r="T20" s="47">
        <v>90.5</v>
      </c>
      <c r="U20" s="47">
        <v>90.5</v>
      </c>
      <c r="V20" s="47">
        <v>80.0</v>
      </c>
      <c r="W20" s="48">
        <f t="shared" si="4"/>
        <v>84</v>
      </c>
      <c r="X20" s="49">
        <v>86.0</v>
      </c>
      <c r="Y20" s="49">
        <v>90.0</v>
      </c>
      <c r="Z20" s="49">
        <v>84.0</v>
      </c>
      <c r="AA20" s="49">
        <v>83.0</v>
      </c>
      <c r="AB20" s="49">
        <v>66.0</v>
      </c>
      <c r="AC20" s="49">
        <v>82.0</v>
      </c>
      <c r="AD20" s="50">
        <f t="shared" si="5"/>
        <v>82</v>
      </c>
      <c r="AE20" s="51">
        <v>86.0</v>
      </c>
      <c r="AF20" s="51">
        <v>90.0</v>
      </c>
      <c r="AG20" s="51">
        <v>84.0</v>
      </c>
      <c r="AH20" s="51">
        <v>83.0</v>
      </c>
      <c r="AI20" s="51">
        <v>66.0</v>
      </c>
      <c r="AJ20" s="51">
        <v>82.0</v>
      </c>
      <c r="AK20" s="52">
        <f t="shared" si="6"/>
        <v>82</v>
      </c>
      <c r="AL20" s="53">
        <v>82.0</v>
      </c>
      <c r="AM20" s="54">
        <v>95.0</v>
      </c>
      <c r="AN20" s="55">
        <f t="shared" si="9"/>
        <v>87.2</v>
      </c>
      <c r="AO20" s="56">
        <f t="shared" si="7"/>
        <v>85.8</v>
      </c>
      <c r="AP20" s="57" t="str">
        <f t="shared" si="8"/>
        <v>A</v>
      </c>
    </row>
    <row r="21">
      <c r="A21" s="60">
        <v>18.0</v>
      </c>
      <c r="B21" s="43">
        <v>6.0200125075E10</v>
      </c>
      <c r="C21" s="44" t="s">
        <v>29</v>
      </c>
      <c r="D21" s="45">
        <v>1.0</v>
      </c>
      <c r="E21" s="45">
        <v>0.0</v>
      </c>
      <c r="F21" s="45">
        <v>1.0</v>
      </c>
      <c r="G21" s="45">
        <v>1.0</v>
      </c>
      <c r="H21" s="45">
        <v>1.0</v>
      </c>
      <c r="I21" s="45">
        <v>1.0</v>
      </c>
      <c r="J21" s="45">
        <v>0.5</v>
      </c>
      <c r="K21" s="45">
        <v>1.0</v>
      </c>
      <c r="L21" s="45">
        <f t="shared" si="10"/>
        <v>1</v>
      </c>
      <c r="M21" s="45">
        <v>1.0</v>
      </c>
      <c r="N21" s="46">
        <f t="shared" si="2"/>
        <v>8.5</v>
      </c>
      <c r="O21" s="46">
        <f t="shared" si="3"/>
        <v>85</v>
      </c>
      <c r="P21" s="47">
        <v>82.5</v>
      </c>
      <c r="Q21" s="47">
        <v>82.5</v>
      </c>
      <c r="R21" s="47">
        <v>86.0</v>
      </c>
      <c r="S21" s="47">
        <v>85.5</v>
      </c>
      <c r="T21" s="47">
        <v>88.5</v>
      </c>
      <c r="U21" s="47">
        <v>90.5</v>
      </c>
      <c r="V21" s="47">
        <v>80.0</v>
      </c>
      <c r="W21" s="48">
        <f t="shared" si="4"/>
        <v>85</v>
      </c>
      <c r="X21" s="49">
        <v>80.0</v>
      </c>
      <c r="Y21" s="49">
        <v>80.0</v>
      </c>
      <c r="Z21" s="49">
        <v>83.0</v>
      </c>
      <c r="AA21" s="49">
        <v>80.0</v>
      </c>
      <c r="AB21" s="49">
        <v>86.0</v>
      </c>
      <c r="AC21" s="49">
        <v>88.0</v>
      </c>
      <c r="AD21" s="50">
        <f t="shared" si="5"/>
        <v>83</v>
      </c>
      <c r="AE21" s="51">
        <v>0.0</v>
      </c>
      <c r="AF21" s="51">
        <v>80.0</v>
      </c>
      <c r="AG21" s="51">
        <v>83.0</v>
      </c>
      <c r="AH21" s="51">
        <v>80.0</v>
      </c>
      <c r="AI21" s="51">
        <v>86.0</v>
      </c>
      <c r="AJ21" s="51">
        <v>0.0</v>
      </c>
      <c r="AK21" s="52">
        <f t="shared" si="6"/>
        <v>55</v>
      </c>
      <c r="AL21" s="53">
        <v>82.0</v>
      </c>
      <c r="AM21" s="54">
        <v>75.0</v>
      </c>
      <c r="AN21" s="55">
        <f t="shared" si="9"/>
        <v>79.2</v>
      </c>
      <c r="AO21" s="56">
        <f t="shared" si="7"/>
        <v>78.75</v>
      </c>
      <c r="AP21" s="57" t="str">
        <f t="shared" si="8"/>
        <v>B</v>
      </c>
    </row>
    <row r="22">
      <c r="A22" s="60">
        <v>19.0</v>
      </c>
      <c r="B22" s="61">
        <v>6.0200125077E10</v>
      </c>
      <c r="C22" s="62" t="s">
        <v>30</v>
      </c>
      <c r="D22" s="45">
        <v>1.0</v>
      </c>
      <c r="E22" s="45">
        <v>1.0</v>
      </c>
      <c r="F22" s="45">
        <v>0.0</v>
      </c>
      <c r="G22" s="45">
        <v>0.0</v>
      </c>
      <c r="H22" s="45">
        <v>0.0</v>
      </c>
      <c r="I22" s="45">
        <v>0.0</v>
      </c>
      <c r="J22" s="45">
        <v>0.0</v>
      </c>
      <c r="K22" s="45">
        <v>0.0</v>
      </c>
      <c r="L22" s="45">
        <f t="shared" si="10"/>
        <v>0</v>
      </c>
      <c r="M22" s="45">
        <v>1.0</v>
      </c>
      <c r="N22" s="46">
        <f t="shared" si="2"/>
        <v>3</v>
      </c>
      <c r="O22" s="46">
        <f t="shared" si="3"/>
        <v>30</v>
      </c>
      <c r="P22" s="47">
        <v>0.0</v>
      </c>
      <c r="Q22" s="47">
        <v>0.0</v>
      </c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8">
        <f t="shared" si="4"/>
        <v>0</v>
      </c>
      <c r="X22" s="49">
        <v>80.0</v>
      </c>
      <c r="Y22" s="49">
        <v>0.0</v>
      </c>
      <c r="Z22" s="49">
        <v>0.0</v>
      </c>
      <c r="AA22" s="49">
        <v>0.0</v>
      </c>
      <c r="AB22" s="49">
        <v>0.0</v>
      </c>
      <c r="AC22" s="49"/>
      <c r="AD22" s="50">
        <f t="shared" si="5"/>
        <v>13</v>
      </c>
      <c r="AE22" s="51">
        <v>80.0</v>
      </c>
      <c r="AF22" s="51">
        <v>0.0</v>
      </c>
      <c r="AG22" s="51">
        <v>0.0</v>
      </c>
      <c r="AH22" s="51">
        <v>0.0</v>
      </c>
      <c r="AI22" s="51">
        <v>0.0</v>
      </c>
      <c r="AJ22" s="51">
        <v>0.0</v>
      </c>
      <c r="AK22" s="52">
        <f t="shared" si="6"/>
        <v>13</v>
      </c>
      <c r="AL22" s="55">
        <v>0.0</v>
      </c>
      <c r="AM22" s="54">
        <v>80.0</v>
      </c>
      <c r="AN22" s="55">
        <f t="shared" si="9"/>
        <v>32</v>
      </c>
      <c r="AO22" s="56">
        <f t="shared" si="7"/>
        <v>14.9</v>
      </c>
      <c r="AP22" s="41" t="str">
        <f t="shared" si="8"/>
        <v>E</v>
      </c>
    </row>
    <row r="23">
      <c r="A23" s="42">
        <v>20.0</v>
      </c>
      <c r="B23" s="43">
        <v>6.0200125078E10</v>
      </c>
      <c r="C23" s="44" t="s">
        <v>31</v>
      </c>
      <c r="D23" s="45">
        <v>1.0</v>
      </c>
      <c r="E23" s="45">
        <v>1.0</v>
      </c>
      <c r="F23" s="45">
        <v>1.0</v>
      </c>
      <c r="G23" s="45">
        <v>1.0</v>
      </c>
      <c r="H23" s="45">
        <v>1.0</v>
      </c>
      <c r="I23" s="45">
        <v>1.0</v>
      </c>
      <c r="J23" s="45">
        <v>0.0</v>
      </c>
      <c r="K23" s="45">
        <v>1.0</v>
      </c>
      <c r="L23" s="45">
        <f t="shared" si="10"/>
        <v>1</v>
      </c>
      <c r="M23" s="45">
        <v>1.0</v>
      </c>
      <c r="N23" s="46">
        <f t="shared" si="2"/>
        <v>9</v>
      </c>
      <c r="O23" s="46">
        <f t="shared" si="3"/>
        <v>90</v>
      </c>
      <c r="P23" s="47">
        <v>66.5</v>
      </c>
      <c r="Q23" s="47">
        <f>43+25</f>
        <v>68</v>
      </c>
      <c r="R23" s="47">
        <v>84.0</v>
      </c>
      <c r="S23" s="47">
        <v>86.5</v>
      </c>
      <c r="T23" s="47">
        <v>91.5</v>
      </c>
      <c r="U23" s="47">
        <v>90.5</v>
      </c>
      <c r="V23" s="47">
        <v>80.0</v>
      </c>
      <c r="W23" s="48">
        <f t="shared" si="4"/>
        <v>81</v>
      </c>
      <c r="X23" s="49">
        <v>87.0</v>
      </c>
      <c r="Y23" s="49">
        <v>83.0</v>
      </c>
      <c r="Z23" s="49">
        <v>84.0</v>
      </c>
      <c r="AA23" s="49">
        <v>82.0</v>
      </c>
      <c r="AB23" s="49">
        <v>87.0</v>
      </c>
      <c r="AC23" s="49">
        <v>40.0</v>
      </c>
      <c r="AD23" s="50">
        <f t="shared" si="5"/>
        <v>77</v>
      </c>
      <c r="AE23" s="51">
        <v>87.0</v>
      </c>
      <c r="AF23" s="51">
        <v>83.0</v>
      </c>
      <c r="AG23" s="51">
        <v>84.0</v>
      </c>
      <c r="AH23" s="51">
        <v>82.0</v>
      </c>
      <c r="AI23" s="51">
        <v>87.0</v>
      </c>
      <c r="AJ23" s="51">
        <v>0.0</v>
      </c>
      <c r="AK23" s="52">
        <f t="shared" si="6"/>
        <v>71</v>
      </c>
      <c r="AL23" s="53">
        <v>80.0</v>
      </c>
      <c r="AM23" s="54">
        <v>70.0</v>
      </c>
      <c r="AN23" s="55">
        <f t="shared" si="9"/>
        <v>76</v>
      </c>
      <c r="AO23" s="56">
        <f t="shared" si="7"/>
        <v>78.55</v>
      </c>
      <c r="AP23" s="57" t="str">
        <f t="shared" si="8"/>
        <v>B</v>
      </c>
    </row>
    <row r="24">
      <c r="A24" s="42">
        <v>21.0</v>
      </c>
      <c r="B24" s="43">
        <v>6.0200125099E10</v>
      </c>
      <c r="C24" s="44" t="s">
        <v>32</v>
      </c>
      <c r="D24" s="45">
        <v>1.0</v>
      </c>
      <c r="E24" s="45">
        <v>1.0</v>
      </c>
      <c r="F24" s="45">
        <v>1.0</v>
      </c>
      <c r="G24" s="45">
        <v>0.0</v>
      </c>
      <c r="H24" s="45">
        <v>1.0</v>
      </c>
      <c r="I24" s="45">
        <v>1.0</v>
      </c>
      <c r="J24" s="45">
        <v>1.0</v>
      </c>
      <c r="K24" s="45">
        <v>1.0</v>
      </c>
      <c r="L24" s="45">
        <f t="shared" si="10"/>
        <v>1</v>
      </c>
      <c r="M24" s="45">
        <v>1.0</v>
      </c>
      <c r="N24" s="46">
        <f t="shared" si="2"/>
        <v>9</v>
      </c>
      <c r="O24" s="46">
        <f t="shared" si="3"/>
        <v>90</v>
      </c>
      <c r="P24" s="47">
        <v>88.0</v>
      </c>
      <c r="Q24" s="47">
        <v>50.0</v>
      </c>
      <c r="R24" s="47">
        <v>50.0</v>
      </c>
      <c r="S24" s="47">
        <v>88.0</v>
      </c>
      <c r="T24" s="47">
        <v>92.5</v>
      </c>
      <c r="U24" s="47">
        <v>91.5</v>
      </c>
      <c r="V24" s="47">
        <v>95.0</v>
      </c>
      <c r="W24" s="48">
        <f t="shared" si="4"/>
        <v>79</v>
      </c>
      <c r="X24" s="49">
        <v>90.0</v>
      </c>
      <c r="Y24" s="49">
        <v>85.0</v>
      </c>
      <c r="Z24" s="49">
        <v>40.0</v>
      </c>
      <c r="AA24" s="49">
        <v>78.0</v>
      </c>
      <c r="AB24" s="49">
        <v>84.0</v>
      </c>
      <c r="AC24" s="49">
        <v>89.0</v>
      </c>
      <c r="AD24" s="50">
        <f t="shared" si="5"/>
        <v>78</v>
      </c>
      <c r="AE24" s="51">
        <v>90.0</v>
      </c>
      <c r="AF24" s="51">
        <v>85.0</v>
      </c>
      <c r="AG24" s="51">
        <v>0.0</v>
      </c>
      <c r="AH24" s="51">
        <v>78.0</v>
      </c>
      <c r="AI24" s="51">
        <v>84.0</v>
      </c>
      <c r="AJ24" s="51">
        <v>84.0</v>
      </c>
      <c r="AK24" s="52">
        <f t="shared" si="6"/>
        <v>70</v>
      </c>
      <c r="AL24" s="53">
        <v>88.0</v>
      </c>
      <c r="AM24" s="53">
        <v>86.0</v>
      </c>
      <c r="AN24" s="55">
        <f t="shared" si="9"/>
        <v>87.2</v>
      </c>
      <c r="AO24" s="56">
        <f t="shared" si="7"/>
        <v>80.65</v>
      </c>
      <c r="AP24" s="57" t="str">
        <f t="shared" si="8"/>
        <v>B</v>
      </c>
    </row>
    <row r="25">
      <c r="A25" s="42">
        <v>22.0</v>
      </c>
      <c r="B25" s="43">
        <v>6.02001251E10</v>
      </c>
      <c r="C25" s="44" t="s">
        <v>33</v>
      </c>
      <c r="D25" s="45">
        <v>1.0</v>
      </c>
      <c r="E25" s="45">
        <v>1.0</v>
      </c>
      <c r="F25" s="45">
        <v>1.0</v>
      </c>
      <c r="G25" s="45">
        <v>1.0</v>
      </c>
      <c r="H25" s="45">
        <v>1.0</v>
      </c>
      <c r="I25" s="45">
        <v>1.0</v>
      </c>
      <c r="J25" s="45">
        <v>1.0</v>
      </c>
      <c r="K25" s="45">
        <v>1.0</v>
      </c>
      <c r="L25" s="45">
        <f t="shared" si="10"/>
        <v>1</v>
      </c>
      <c r="M25" s="45">
        <v>1.0</v>
      </c>
      <c r="N25" s="46">
        <f t="shared" si="2"/>
        <v>10</v>
      </c>
      <c r="O25" s="46">
        <f t="shared" si="3"/>
        <v>100</v>
      </c>
      <c r="P25" s="47">
        <v>83.5</v>
      </c>
      <c r="Q25" s="47">
        <f>43+25</f>
        <v>68</v>
      </c>
      <c r="R25" s="47">
        <v>84.0</v>
      </c>
      <c r="S25" s="47">
        <v>85.5</v>
      </c>
      <c r="T25" s="47">
        <v>87.5</v>
      </c>
      <c r="U25" s="47">
        <v>90.5</v>
      </c>
      <c r="V25" s="47">
        <v>80.0</v>
      </c>
      <c r="W25" s="48">
        <f t="shared" si="4"/>
        <v>83</v>
      </c>
      <c r="X25" s="49">
        <v>87.0</v>
      </c>
      <c r="Y25" s="49">
        <v>83.0</v>
      </c>
      <c r="Z25" s="49">
        <v>83.0</v>
      </c>
      <c r="AA25" s="49">
        <v>82.0</v>
      </c>
      <c r="AB25" s="49">
        <v>65.0</v>
      </c>
      <c r="AC25" s="49">
        <v>89.0</v>
      </c>
      <c r="AD25" s="50">
        <f t="shared" si="5"/>
        <v>82</v>
      </c>
      <c r="AE25" s="51">
        <v>87.0</v>
      </c>
      <c r="AF25" s="51">
        <v>83.0</v>
      </c>
      <c r="AG25" s="51">
        <v>83.0</v>
      </c>
      <c r="AH25" s="51">
        <v>82.0</v>
      </c>
      <c r="AI25" s="51">
        <v>65.0</v>
      </c>
      <c r="AJ25" s="51">
        <v>84.0</v>
      </c>
      <c r="AK25" s="52">
        <f t="shared" si="6"/>
        <v>81</v>
      </c>
      <c r="AL25" s="55">
        <v>70.0</v>
      </c>
      <c r="AM25" s="54">
        <v>75.0</v>
      </c>
      <c r="AN25" s="55">
        <f t="shared" si="9"/>
        <v>72</v>
      </c>
      <c r="AO25" s="56">
        <f t="shared" si="7"/>
        <v>81.5</v>
      </c>
      <c r="AP25" s="57" t="str">
        <f t="shared" si="8"/>
        <v>B</v>
      </c>
    </row>
    <row r="26">
      <c r="A26" s="42">
        <v>23.0</v>
      </c>
      <c r="B26" s="43">
        <v>6.0200125101E10</v>
      </c>
      <c r="C26" s="44" t="s">
        <v>34</v>
      </c>
      <c r="D26" s="45">
        <v>1.0</v>
      </c>
      <c r="E26" s="45">
        <v>1.0</v>
      </c>
      <c r="F26" s="45">
        <v>1.0</v>
      </c>
      <c r="G26" s="45">
        <v>1.0</v>
      </c>
      <c r="H26" s="45">
        <v>1.0</v>
      </c>
      <c r="I26" s="45">
        <v>1.0</v>
      </c>
      <c r="J26" s="45">
        <v>1.0</v>
      </c>
      <c r="K26" s="45">
        <v>1.0</v>
      </c>
      <c r="L26" s="45">
        <f t="shared" si="10"/>
        <v>1</v>
      </c>
      <c r="M26" s="45">
        <v>1.0</v>
      </c>
      <c r="N26" s="46">
        <f t="shared" si="2"/>
        <v>10</v>
      </c>
      <c r="O26" s="46">
        <f t="shared" si="3"/>
        <v>100</v>
      </c>
      <c r="P26" s="47">
        <v>87.0</v>
      </c>
      <c r="Q26" s="47">
        <f>42.5 + 25</f>
        <v>67.5</v>
      </c>
      <c r="R26" s="47">
        <v>85.0</v>
      </c>
      <c r="S26" s="47">
        <v>85.5</v>
      </c>
      <c r="T26" s="47">
        <v>90.5</v>
      </c>
      <c r="U26" s="47">
        <v>90.5</v>
      </c>
      <c r="V26" s="47">
        <v>80.0</v>
      </c>
      <c r="W26" s="48">
        <f t="shared" si="4"/>
        <v>84</v>
      </c>
      <c r="X26" s="49">
        <v>87.0</v>
      </c>
      <c r="Y26" s="49">
        <v>88.0</v>
      </c>
      <c r="Z26" s="49">
        <v>82.0</v>
      </c>
      <c r="AA26" s="49">
        <v>85.0</v>
      </c>
      <c r="AB26" s="49">
        <v>84.0</v>
      </c>
      <c r="AC26" s="49">
        <v>88.0</v>
      </c>
      <c r="AD26" s="50">
        <f t="shared" si="5"/>
        <v>86</v>
      </c>
      <c r="AE26" s="51">
        <v>87.0</v>
      </c>
      <c r="AF26" s="51">
        <v>88.0</v>
      </c>
      <c r="AG26" s="51">
        <v>82.0</v>
      </c>
      <c r="AH26" s="51">
        <v>85.0</v>
      </c>
      <c r="AI26" s="51">
        <v>84.0</v>
      </c>
      <c r="AJ26" s="51">
        <v>88.0</v>
      </c>
      <c r="AK26" s="52">
        <f t="shared" si="6"/>
        <v>86</v>
      </c>
      <c r="AL26" s="53">
        <v>75.0</v>
      </c>
      <c r="AM26" s="54">
        <v>70.0</v>
      </c>
      <c r="AN26" s="55">
        <f t="shared" si="9"/>
        <v>73</v>
      </c>
      <c r="AO26" s="56">
        <f t="shared" si="7"/>
        <v>83.45</v>
      </c>
      <c r="AP26" s="57" t="str">
        <f t="shared" si="8"/>
        <v>B</v>
      </c>
    </row>
    <row r="27">
      <c r="A27" s="42">
        <v>24.0</v>
      </c>
      <c r="B27" s="43">
        <v>6.0200125114E10</v>
      </c>
      <c r="C27" s="44" t="s">
        <v>35</v>
      </c>
      <c r="D27" s="45">
        <v>1.0</v>
      </c>
      <c r="E27" s="45">
        <v>1.0</v>
      </c>
      <c r="F27" s="45">
        <v>1.0</v>
      </c>
      <c r="G27" s="45">
        <v>1.0</v>
      </c>
      <c r="H27" s="45">
        <v>1.0</v>
      </c>
      <c r="I27" s="45">
        <v>1.0</v>
      </c>
      <c r="J27" s="45">
        <v>1.0</v>
      </c>
      <c r="K27" s="45">
        <v>1.0</v>
      </c>
      <c r="L27" s="45">
        <f t="shared" si="10"/>
        <v>1</v>
      </c>
      <c r="M27" s="45">
        <v>1.0</v>
      </c>
      <c r="N27" s="46">
        <f t="shared" si="2"/>
        <v>10</v>
      </c>
      <c r="O27" s="46">
        <f t="shared" si="3"/>
        <v>100</v>
      </c>
      <c r="P27" s="47">
        <v>82.5</v>
      </c>
      <c r="Q27" s="47">
        <f>43+25</f>
        <v>68</v>
      </c>
      <c r="R27" s="47">
        <v>86.5</v>
      </c>
      <c r="S27" s="47">
        <v>87.0</v>
      </c>
      <c r="T27" s="47">
        <v>90.5</v>
      </c>
      <c r="U27" s="47">
        <v>89.5</v>
      </c>
      <c r="V27" s="47">
        <v>80.0</v>
      </c>
      <c r="W27" s="48">
        <f t="shared" si="4"/>
        <v>83</v>
      </c>
      <c r="X27" s="49">
        <v>86.5</v>
      </c>
      <c r="Y27" s="49">
        <v>85.0</v>
      </c>
      <c r="Z27" s="49">
        <v>85.0</v>
      </c>
      <c r="AA27" s="49">
        <v>82.0</v>
      </c>
      <c r="AB27" s="49">
        <v>67.0</v>
      </c>
      <c r="AC27" s="49">
        <v>84.0</v>
      </c>
      <c r="AD27" s="50">
        <f t="shared" si="5"/>
        <v>82</v>
      </c>
      <c r="AE27" s="51">
        <v>86.5</v>
      </c>
      <c r="AF27" s="51">
        <v>85.0</v>
      </c>
      <c r="AG27" s="51">
        <v>85.0</v>
      </c>
      <c r="AH27" s="51">
        <v>82.0</v>
      </c>
      <c r="AI27" s="51">
        <v>67.0</v>
      </c>
      <c r="AJ27" s="51">
        <v>84.0</v>
      </c>
      <c r="AK27" s="52">
        <f t="shared" si="6"/>
        <v>82</v>
      </c>
      <c r="AL27" s="53">
        <v>75.0</v>
      </c>
      <c r="AM27" s="54">
        <v>75.0</v>
      </c>
      <c r="AN27" s="55">
        <f t="shared" si="9"/>
        <v>75</v>
      </c>
      <c r="AO27" s="56">
        <f t="shared" si="7"/>
        <v>82.4</v>
      </c>
      <c r="AP27" s="57" t="str">
        <f t="shared" si="8"/>
        <v>B</v>
      </c>
    </row>
    <row r="28">
      <c r="A28" s="42">
        <v>25.0</v>
      </c>
      <c r="B28" s="43">
        <v>6.0200125116E10</v>
      </c>
      <c r="C28" s="44" t="s">
        <v>36</v>
      </c>
      <c r="D28" s="45">
        <v>1.0</v>
      </c>
      <c r="E28" s="45">
        <v>1.0</v>
      </c>
      <c r="F28" s="45">
        <v>1.0</v>
      </c>
      <c r="G28" s="45">
        <v>0.0</v>
      </c>
      <c r="H28" s="45">
        <v>1.0</v>
      </c>
      <c r="I28" s="45">
        <v>0.0</v>
      </c>
      <c r="J28" s="45">
        <v>1.0</v>
      </c>
      <c r="K28" s="45">
        <v>1.0</v>
      </c>
      <c r="L28" s="45">
        <f t="shared" si="10"/>
        <v>1</v>
      </c>
      <c r="M28" s="45">
        <v>0.0</v>
      </c>
      <c r="N28" s="46">
        <f t="shared" si="2"/>
        <v>7</v>
      </c>
      <c r="O28" s="46">
        <f t="shared" si="3"/>
        <v>70</v>
      </c>
      <c r="P28" s="47">
        <v>84.0</v>
      </c>
      <c r="Q28" s="47">
        <v>0.0</v>
      </c>
      <c r="R28" s="47">
        <v>40.0</v>
      </c>
      <c r="S28" s="47">
        <v>0.0</v>
      </c>
      <c r="T28" s="47">
        <v>0.0</v>
      </c>
      <c r="U28" s="47">
        <v>0.0</v>
      </c>
      <c r="V28" s="47">
        <v>65.0</v>
      </c>
      <c r="W28" s="48">
        <f t="shared" si="4"/>
        <v>27</v>
      </c>
      <c r="X28" s="49">
        <v>80.0</v>
      </c>
      <c r="Y28" s="49">
        <v>85.0</v>
      </c>
      <c r="Z28" s="49">
        <v>0.0</v>
      </c>
      <c r="AA28" s="49">
        <v>78.0</v>
      </c>
      <c r="AB28" s="49">
        <v>0.0</v>
      </c>
      <c r="AC28" s="49">
        <v>80.0</v>
      </c>
      <c r="AD28" s="50">
        <f t="shared" si="5"/>
        <v>54</v>
      </c>
      <c r="AE28" s="51">
        <v>80.0</v>
      </c>
      <c r="AF28" s="51">
        <v>85.0</v>
      </c>
      <c r="AG28" s="51">
        <v>0.0</v>
      </c>
      <c r="AH28" s="51">
        <v>78.0</v>
      </c>
      <c r="AI28" s="51">
        <v>0.0</v>
      </c>
      <c r="AJ28" s="51">
        <v>80.0</v>
      </c>
      <c r="AK28" s="52">
        <f t="shared" si="6"/>
        <v>54</v>
      </c>
      <c r="AL28" s="55">
        <v>65.0</v>
      </c>
      <c r="AM28" s="54">
        <v>0.0</v>
      </c>
      <c r="AN28" s="55">
        <f t="shared" si="9"/>
        <v>39</v>
      </c>
      <c r="AO28" s="56">
        <f t="shared" si="7"/>
        <v>42.4</v>
      </c>
      <c r="AP28" s="41" t="str">
        <f t="shared" si="8"/>
        <v>E</v>
      </c>
    </row>
    <row r="29">
      <c r="A29" s="42">
        <v>26.0</v>
      </c>
      <c r="B29" s="43">
        <v>6.0200125117E10</v>
      </c>
      <c r="C29" s="44" t="s">
        <v>37</v>
      </c>
      <c r="D29" s="45">
        <v>1.0</v>
      </c>
      <c r="E29" s="45">
        <v>1.0</v>
      </c>
      <c r="F29" s="45">
        <v>1.0</v>
      </c>
      <c r="G29" s="45">
        <v>1.0</v>
      </c>
      <c r="H29" s="45">
        <v>1.0</v>
      </c>
      <c r="I29" s="45">
        <v>1.0</v>
      </c>
      <c r="J29" s="45">
        <v>1.0</v>
      </c>
      <c r="K29" s="45">
        <v>1.0</v>
      </c>
      <c r="L29" s="45">
        <f t="shared" si="10"/>
        <v>1</v>
      </c>
      <c r="M29" s="45">
        <v>1.0</v>
      </c>
      <c r="N29" s="46">
        <f t="shared" si="2"/>
        <v>10</v>
      </c>
      <c r="O29" s="46">
        <f t="shared" si="3"/>
        <v>100</v>
      </c>
      <c r="P29" s="47">
        <v>82.5</v>
      </c>
      <c r="Q29" s="47">
        <f>42.5 + 25</f>
        <v>67.5</v>
      </c>
      <c r="R29" s="47">
        <v>84.5</v>
      </c>
      <c r="S29" s="47">
        <v>86.5</v>
      </c>
      <c r="T29" s="47">
        <v>90.5</v>
      </c>
      <c r="U29" s="47">
        <v>92.5</v>
      </c>
      <c r="V29" s="47">
        <v>80.0</v>
      </c>
      <c r="W29" s="48">
        <f t="shared" si="4"/>
        <v>83</v>
      </c>
      <c r="X29" s="49">
        <v>85.0</v>
      </c>
      <c r="Y29" s="49">
        <v>83.0</v>
      </c>
      <c r="Z29" s="49">
        <v>82.0</v>
      </c>
      <c r="AA29" s="49">
        <v>81.0</v>
      </c>
      <c r="AB29" s="49">
        <v>84.0</v>
      </c>
      <c r="AC29" s="49">
        <v>84.0</v>
      </c>
      <c r="AD29" s="50">
        <f t="shared" si="5"/>
        <v>83</v>
      </c>
      <c r="AE29" s="51">
        <v>85.0</v>
      </c>
      <c r="AF29" s="51">
        <v>83.0</v>
      </c>
      <c r="AG29" s="51">
        <v>82.0</v>
      </c>
      <c r="AH29" s="51">
        <v>81.0</v>
      </c>
      <c r="AI29" s="51">
        <v>84.0</v>
      </c>
      <c r="AJ29" s="51">
        <v>84.0</v>
      </c>
      <c r="AK29" s="52">
        <f t="shared" si="6"/>
        <v>83</v>
      </c>
      <c r="AL29" s="53">
        <v>75.0</v>
      </c>
      <c r="AM29" s="54">
        <v>75.0</v>
      </c>
      <c r="AN29" s="55">
        <f t="shared" si="9"/>
        <v>75</v>
      </c>
      <c r="AO29" s="56">
        <f t="shared" si="7"/>
        <v>82.7</v>
      </c>
      <c r="AP29" s="57" t="str">
        <f t="shared" si="8"/>
        <v>B</v>
      </c>
    </row>
    <row r="30">
      <c r="A30" s="42">
        <v>27.0</v>
      </c>
      <c r="B30" s="43">
        <v>6.0200125118E10</v>
      </c>
      <c r="C30" s="44" t="s">
        <v>38</v>
      </c>
      <c r="D30" s="45">
        <v>0.5</v>
      </c>
      <c r="E30" s="45">
        <v>0.5</v>
      </c>
      <c r="F30" s="45">
        <v>0.5</v>
      </c>
      <c r="G30" s="45">
        <v>0.5</v>
      </c>
      <c r="H30" s="45">
        <v>0.5</v>
      </c>
      <c r="I30" s="45">
        <v>0.5</v>
      </c>
      <c r="J30" s="45">
        <v>0.5</v>
      </c>
      <c r="K30" s="45">
        <v>0.5</v>
      </c>
      <c r="L30" s="45">
        <v>0.5</v>
      </c>
      <c r="M30" s="45">
        <v>0.5</v>
      </c>
      <c r="N30" s="46">
        <f t="shared" si="2"/>
        <v>5</v>
      </c>
      <c r="O30" s="46">
        <f t="shared" si="3"/>
        <v>50</v>
      </c>
      <c r="P30" s="47">
        <v>0.0</v>
      </c>
      <c r="Q30" s="47">
        <v>0.0</v>
      </c>
      <c r="R30" s="47">
        <v>0.0</v>
      </c>
      <c r="S30" s="47">
        <v>0.0</v>
      </c>
      <c r="T30" s="47">
        <v>0.0</v>
      </c>
      <c r="U30" s="47">
        <v>0.0</v>
      </c>
      <c r="V30" s="47">
        <v>65.0</v>
      </c>
      <c r="W30" s="48">
        <f t="shared" si="4"/>
        <v>9</v>
      </c>
      <c r="X30" s="49">
        <v>0.0</v>
      </c>
      <c r="Y30" s="49">
        <v>0.0</v>
      </c>
      <c r="Z30" s="49">
        <v>0.0</v>
      </c>
      <c r="AA30" s="49">
        <v>0.0</v>
      </c>
      <c r="AB30" s="49">
        <v>0.0</v>
      </c>
      <c r="AC30" s="49">
        <v>0.0</v>
      </c>
      <c r="AD30" s="50">
        <f t="shared" si="5"/>
        <v>0</v>
      </c>
      <c r="AE30" s="51">
        <v>0.0</v>
      </c>
      <c r="AF30" s="51">
        <v>0.0</v>
      </c>
      <c r="AG30" s="51">
        <v>0.0</v>
      </c>
      <c r="AH30" s="51">
        <v>0.0</v>
      </c>
      <c r="AI30" s="51">
        <v>0.0</v>
      </c>
      <c r="AJ30" s="51">
        <v>0.0</v>
      </c>
      <c r="AK30" s="52">
        <f t="shared" si="6"/>
        <v>0</v>
      </c>
      <c r="AL30" s="55">
        <v>0.0</v>
      </c>
      <c r="AM30" s="54">
        <v>0.0</v>
      </c>
      <c r="AN30" s="55">
        <f t="shared" si="9"/>
        <v>0</v>
      </c>
      <c r="AO30" s="56">
        <f t="shared" si="7"/>
        <v>8.15</v>
      </c>
      <c r="AP30" s="41" t="str">
        <f t="shared" si="8"/>
        <v>E</v>
      </c>
    </row>
    <row r="31">
      <c r="A31" s="60">
        <v>28.0</v>
      </c>
      <c r="B31" s="43">
        <v>6.0200125119E10</v>
      </c>
      <c r="C31" s="44" t="s">
        <v>39</v>
      </c>
      <c r="D31" s="45">
        <v>1.0</v>
      </c>
      <c r="E31" s="45">
        <v>1.0</v>
      </c>
      <c r="F31" s="45">
        <v>1.0</v>
      </c>
      <c r="G31" s="45">
        <v>0.0</v>
      </c>
      <c r="H31" s="45">
        <v>0.0</v>
      </c>
      <c r="I31" s="45">
        <v>1.0</v>
      </c>
      <c r="J31" s="45">
        <v>1.0</v>
      </c>
      <c r="K31" s="45">
        <v>1.0</v>
      </c>
      <c r="L31" s="45">
        <f t="shared" ref="L31:L38" si="12">IF(AL31&gt;1,1,0)</f>
        <v>1</v>
      </c>
      <c r="M31" s="45">
        <v>0.5</v>
      </c>
      <c r="N31" s="46">
        <f t="shared" si="2"/>
        <v>7.5</v>
      </c>
      <c r="O31" s="46">
        <f t="shared" si="3"/>
        <v>75</v>
      </c>
      <c r="P31" s="47">
        <v>83.0</v>
      </c>
      <c r="Q31" s="47">
        <v>50.0</v>
      </c>
      <c r="R31" s="47">
        <v>0.0</v>
      </c>
      <c r="S31" s="47">
        <v>0.0</v>
      </c>
      <c r="T31" s="47">
        <v>84.0</v>
      </c>
      <c r="U31" s="47">
        <v>0.0</v>
      </c>
      <c r="V31" s="47">
        <v>80.0</v>
      </c>
      <c r="W31" s="48">
        <f t="shared" si="4"/>
        <v>42</v>
      </c>
      <c r="X31" s="49">
        <v>85.0</v>
      </c>
      <c r="Y31" s="49">
        <v>88.0</v>
      </c>
      <c r="Z31" s="49">
        <v>0.0</v>
      </c>
      <c r="AA31" s="49">
        <v>0.0</v>
      </c>
      <c r="AB31" s="49">
        <v>82.0</v>
      </c>
      <c r="AC31" s="49">
        <v>88.0</v>
      </c>
      <c r="AD31" s="50">
        <f t="shared" si="5"/>
        <v>57</v>
      </c>
      <c r="AE31" s="51">
        <v>85.0</v>
      </c>
      <c r="AF31" s="51">
        <v>88.0</v>
      </c>
      <c r="AG31" s="51">
        <v>0.0</v>
      </c>
      <c r="AH31" s="51">
        <v>0.0</v>
      </c>
      <c r="AI31" s="51">
        <v>82.0</v>
      </c>
      <c r="AJ31" s="51">
        <v>88.0</v>
      </c>
      <c r="AK31" s="52">
        <f t="shared" si="6"/>
        <v>57</v>
      </c>
      <c r="AL31" s="53">
        <v>80.0</v>
      </c>
      <c r="AM31" s="54">
        <v>80.0</v>
      </c>
      <c r="AN31" s="55">
        <f t="shared" si="9"/>
        <v>80</v>
      </c>
      <c r="AO31" s="56">
        <f t="shared" si="7"/>
        <v>59.3</v>
      </c>
      <c r="AP31" s="57" t="str">
        <f t="shared" si="8"/>
        <v>D</v>
      </c>
    </row>
    <row r="32">
      <c r="A32" s="60">
        <v>29.0</v>
      </c>
      <c r="B32" s="43">
        <v>6.020012512E10</v>
      </c>
      <c r="C32" s="44" t="s">
        <v>40</v>
      </c>
      <c r="D32" s="45">
        <v>1.0</v>
      </c>
      <c r="E32" s="45">
        <v>1.0</v>
      </c>
      <c r="F32" s="45">
        <v>1.0</v>
      </c>
      <c r="G32" s="45">
        <v>1.0</v>
      </c>
      <c r="H32" s="45">
        <v>1.0</v>
      </c>
      <c r="I32" s="45">
        <v>0.0</v>
      </c>
      <c r="J32" s="45">
        <v>1.0</v>
      </c>
      <c r="K32" s="45">
        <v>1.0</v>
      </c>
      <c r="L32" s="45">
        <f t="shared" si="12"/>
        <v>1</v>
      </c>
      <c r="M32" s="45">
        <v>1.0</v>
      </c>
      <c r="N32" s="46">
        <f t="shared" si="2"/>
        <v>9</v>
      </c>
      <c r="O32" s="46">
        <f t="shared" si="3"/>
        <v>90</v>
      </c>
      <c r="P32" s="47">
        <v>86.0</v>
      </c>
      <c r="Q32" s="47">
        <v>85.5</v>
      </c>
      <c r="R32" s="47">
        <v>83.5</v>
      </c>
      <c r="S32" s="47">
        <v>82.5</v>
      </c>
      <c r="T32" s="47">
        <v>86.0</v>
      </c>
      <c r="U32" s="47">
        <v>90.0</v>
      </c>
      <c r="V32" s="47">
        <v>65.0</v>
      </c>
      <c r="W32" s="48">
        <f t="shared" si="4"/>
        <v>83</v>
      </c>
      <c r="X32" s="49">
        <v>87.0</v>
      </c>
      <c r="Y32" s="49">
        <v>85.0</v>
      </c>
      <c r="Z32" s="49">
        <v>86.0</v>
      </c>
      <c r="AA32" s="49">
        <v>80.0</v>
      </c>
      <c r="AB32" s="49">
        <v>87.0</v>
      </c>
      <c r="AC32" s="49">
        <v>84.0</v>
      </c>
      <c r="AD32" s="50">
        <f t="shared" si="5"/>
        <v>85</v>
      </c>
      <c r="AE32" s="51">
        <v>87.0</v>
      </c>
      <c r="AF32" s="51">
        <v>85.0</v>
      </c>
      <c r="AG32" s="51">
        <v>86.0</v>
      </c>
      <c r="AH32" s="51">
        <v>80.0</v>
      </c>
      <c r="AI32" s="51">
        <v>0.0</v>
      </c>
      <c r="AJ32" s="51">
        <v>84.0</v>
      </c>
      <c r="AK32" s="52">
        <f t="shared" si="6"/>
        <v>70</v>
      </c>
      <c r="AL32" s="53">
        <v>79.0</v>
      </c>
      <c r="AM32" s="53">
        <v>70.0</v>
      </c>
      <c r="AN32" s="55">
        <f t="shared" si="9"/>
        <v>75.4</v>
      </c>
      <c r="AO32" s="56">
        <f t="shared" si="7"/>
        <v>80.15</v>
      </c>
      <c r="AP32" s="57" t="str">
        <f t="shared" si="8"/>
        <v>B</v>
      </c>
    </row>
    <row r="33">
      <c r="A33" s="42">
        <v>30.0</v>
      </c>
      <c r="B33" s="43">
        <v>6.0200125121E10</v>
      </c>
      <c r="C33" s="44" t="s">
        <v>41</v>
      </c>
      <c r="D33" s="45">
        <v>1.0</v>
      </c>
      <c r="E33" s="45">
        <v>1.0</v>
      </c>
      <c r="F33" s="45">
        <v>1.0</v>
      </c>
      <c r="G33" s="45">
        <v>0.0</v>
      </c>
      <c r="H33" s="45">
        <v>1.0</v>
      </c>
      <c r="I33" s="45">
        <v>1.0</v>
      </c>
      <c r="J33" s="45">
        <v>1.0</v>
      </c>
      <c r="K33" s="45">
        <v>1.0</v>
      </c>
      <c r="L33" s="45">
        <f t="shared" si="12"/>
        <v>1</v>
      </c>
      <c r="M33" s="45">
        <v>1.0</v>
      </c>
      <c r="N33" s="46">
        <f t="shared" si="2"/>
        <v>9</v>
      </c>
      <c r="O33" s="46">
        <f t="shared" si="3"/>
        <v>90</v>
      </c>
      <c r="P33" s="47">
        <v>85.5</v>
      </c>
      <c r="Q33" s="47">
        <v>43.0</v>
      </c>
      <c r="R33" s="47">
        <v>0.0</v>
      </c>
      <c r="S33" s="47">
        <v>83.5</v>
      </c>
      <c r="T33" s="47">
        <v>86.0</v>
      </c>
      <c r="U33" s="47">
        <v>0.0</v>
      </c>
      <c r="V33" s="47">
        <v>80.0</v>
      </c>
      <c r="W33" s="48">
        <f t="shared" si="4"/>
        <v>54</v>
      </c>
      <c r="X33" s="49">
        <v>85.0</v>
      </c>
      <c r="Y33" s="49">
        <v>85.0</v>
      </c>
      <c r="Z33" s="49">
        <v>0.0</v>
      </c>
      <c r="AA33" s="49">
        <v>85.0</v>
      </c>
      <c r="AB33" s="49">
        <v>86.0</v>
      </c>
      <c r="AC33" s="49">
        <v>84.0</v>
      </c>
      <c r="AD33" s="50">
        <f t="shared" si="5"/>
        <v>71</v>
      </c>
      <c r="AE33" s="51">
        <v>85.0</v>
      </c>
      <c r="AF33" s="51">
        <v>85.0</v>
      </c>
      <c r="AG33" s="51">
        <v>0.0</v>
      </c>
      <c r="AH33" s="51">
        <v>85.0</v>
      </c>
      <c r="AI33" s="51">
        <v>86.0</v>
      </c>
      <c r="AJ33" s="51">
        <v>84.0</v>
      </c>
      <c r="AK33" s="52">
        <f t="shared" si="6"/>
        <v>71</v>
      </c>
      <c r="AL33" s="53">
        <v>75.0</v>
      </c>
      <c r="AM33" s="54">
        <v>75.0</v>
      </c>
      <c r="AN33" s="55">
        <f t="shared" si="9"/>
        <v>75</v>
      </c>
      <c r="AO33" s="56">
        <f t="shared" si="7"/>
        <v>67.95</v>
      </c>
      <c r="AP33" s="57" t="str">
        <f t="shared" si="8"/>
        <v>C</v>
      </c>
    </row>
    <row r="34">
      <c r="A34" s="42">
        <v>31.0</v>
      </c>
      <c r="B34" s="43">
        <v>6.0200125122E10</v>
      </c>
      <c r="C34" s="44" t="s">
        <v>42</v>
      </c>
      <c r="D34" s="45">
        <v>1.0</v>
      </c>
      <c r="E34" s="45">
        <v>1.0</v>
      </c>
      <c r="F34" s="45">
        <v>1.0</v>
      </c>
      <c r="G34" s="45">
        <v>1.0</v>
      </c>
      <c r="H34" s="45">
        <v>1.0</v>
      </c>
      <c r="I34" s="45">
        <v>1.0</v>
      </c>
      <c r="J34" s="45">
        <v>1.0</v>
      </c>
      <c r="K34" s="45">
        <v>1.0</v>
      </c>
      <c r="L34" s="45">
        <f t="shared" si="12"/>
        <v>1</v>
      </c>
      <c r="M34" s="45">
        <v>1.0</v>
      </c>
      <c r="N34" s="46">
        <f t="shared" si="2"/>
        <v>10</v>
      </c>
      <c r="O34" s="46">
        <f t="shared" si="3"/>
        <v>100</v>
      </c>
      <c r="P34" s="47">
        <v>82.5</v>
      </c>
      <c r="Q34" s="47">
        <f>42+25</f>
        <v>67</v>
      </c>
      <c r="R34" s="47">
        <v>85.5</v>
      </c>
      <c r="S34" s="47">
        <v>85.5</v>
      </c>
      <c r="T34" s="47">
        <v>90.0</v>
      </c>
      <c r="U34" s="47">
        <v>90.0</v>
      </c>
      <c r="V34" s="47">
        <v>80.0</v>
      </c>
      <c r="W34" s="48">
        <f t="shared" si="4"/>
        <v>83</v>
      </c>
      <c r="X34" s="49">
        <v>90.0</v>
      </c>
      <c r="Y34" s="49">
        <v>85.0</v>
      </c>
      <c r="Z34" s="49">
        <v>82.0</v>
      </c>
      <c r="AA34" s="49">
        <v>80.0</v>
      </c>
      <c r="AB34" s="49">
        <v>66.0</v>
      </c>
      <c r="AC34" s="49">
        <v>89.0</v>
      </c>
      <c r="AD34" s="50">
        <f t="shared" si="5"/>
        <v>82</v>
      </c>
      <c r="AE34" s="51">
        <v>90.0</v>
      </c>
      <c r="AF34" s="51">
        <v>85.0</v>
      </c>
      <c r="AG34" s="51">
        <v>82.0</v>
      </c>
      <c r="AH34" s="51">
        <v>80.0</v>
      </c>
      <c r="AI34" s="51">
        <v>66.0</v>
      </c>
      <c r="AJ34" s="51">
        <v>84.0</v>
      </c>
      <c r="AK34" s="52">
        <f t="shared" si="6"/>
        <v>81</v>
      </c>
      <c r="AL34" s="53">
        <v>80.0</v>
      </c>
      <c r="AM34" s="54">
        <v>80.0</v>
      </c>
      <c r="AN34" s="55">
        <f t="shared" si="9"/>
        <v>80</v>
      </c>
      <c r="AO34" s="56">
        <f t="shared" si="7"/>
        <v>83.5</v>
      </c>
      <c r="AP34" s="57" t="str">
        <f t="shared" si="8"/>
        <v>B</v>
      </c>
    </row>
    <row r="35">
      <c r="A35" s="42">
        <v>32.0</v>
      </c>
      <c r="B35" s="43">
        <v>6.0200125147E10</v>
      </c>
      <c r="C35" s="44" t="s">
        <v>43</v>
      </c>
      <c r="D35" s="45">
        <v>1.0</v>
      </c>
      <c r="E35" s="45">
        <v>1.0</v>
      </c>
      <c r="F35" s="45">
        <v>1.0</v>
      </c>
      <c r="G35" s="45">
        <v>0.5</v>
      </c>
      <c r="H35" s="45">
        <v>1.0</v>
      </c>
      <c r="I35" s="45">
        <v>1.0</v>
      </c>
      <c r="J35" s="45">
        <v>1.0</v>
      </c>
      <c r="K35" s="45">
        <v>1.0</v>
      </c>
      <c r="L35" s="45">
        <f t="shared" si="12"/>
        <v>1</v>
      </c>
      <c r="M35" s="45">
        <v>1.0</v>
      </c>
      <c r="N35" s="46">
        <f t="shared" si="2"/>
        <v>9.5</v>
      </c>
      <c r="O35" s="46">
        <f t="shared" si="3"/>
        <v>95</v>
      </c>
      <c r="P35" s="47">
        <v>80.0</v>
      </c>
      <c r="Q35" s="47">
        <f t="shared" ref="Q35:R35" si="13">40+25</f>
        <v>65</v>
      </c>
      <c r="R35" s="47">
        <f t="shared" si="13"/>
        <v>65</v>
      </c>
      <c r="S35" s="47">
        <v>87.0</v>
      </c>
      <c r="T35" s="47">
        <v>92.5</v>
      </c>
      <c r="U35" s="47">
        <v>89.5</v>
      </c>
      <c r="V35" s="47">
        <v>90.0</v>
      </c>
      <c r="W35" s="48">
        <f t="shared" si="4"/>
        <v>81</v>
      </c>
      <c r="X35" s="49">
        <v>80.0</v>
      </c>
      <c r="Y35" s="49">
        <v>80.0</v>
      </c>
      <c r="Z35" s="49">
        <v>40.0</v>
      </c>
      <c r="AA35" s="49">
        <v>82.0</v>
      </c>
      <c r="AB35" s="49">
        <v>86.0</v>
      </c>
      <c r="AC35" s="49">
        <v>80.0</v>
      </c>
      <c r="AD35" s="50">
        <f t="shared" si="5"/>
        <v>75</v>
      </c>
      <c r="AE35" s="51">
        <v>80.0</v>
      </c>
      <c r="AF35" s="51">
        <v>80.0</v>
      </c>
      <c r="AG35" s="51">
        <v>0.0</v>
      </c>
      <c r="AH35" s="51">
        <v>82.0</v>
      </c>
      <c r="AI35" s="51">
        <v>86.0</v>
      </c>
      <c r="AJ35" s="51">
        <v>80.0</v>
      </c>
      <c r="AK35" s="52">
        <f t="shared" si="6"/>
        <v>68</v>
      </c>
      <c r="AL35" s="53">
        <v>70.0</v>
      </c>
      <c r="AM35" s="54">
        <v>75.0</v>
      </c>
      <c r="AN35" s="55">
        <f t="shared" si="9"/>
        <v>72</v>
      </c>
      <c r="AO35" s="56">
        <f t="shared" si="7"/>
        <v>77.3</v>
      </c>
      <c r="AP35" s="57" t="str">
        <f t="shared" si="8"/>
        <v>B</v>
      </c>
    </row>
    <row r="36">
      <c r="A36" s="42">
        <v>33.0</v>
      </c>
      <c r="B36" s="43">
        <v>6.0200125151E10</v>
      </c>
      <c r="C36" s="44" t="s">
        <v>44</v>
      </c>
      <c r="D36" s="45">
        <v>1.0</v>
      </c>
      <c r="E36" s="45">
        <v>1.0</v>
      </c>
      <c r="F36" s="45">
        <v>1.0</v>
      </c>
      <c r="G36" s="45">
        <v>1.0</v>
      </c>
      <c r="H36" s="45">
        <v>1.0</v>
      </c>
      <c r="I36" s="45">
        <v>1.0</v>
      </c>
      <c r="J36" s="45">
        <v>1.0</v>
      </c>
      <c r="K36" s="45">
        <v>1.0</v>
      </c>
      <c r="L36" s="45">
        <f t="shared" si="12"/>
        <v>1</v>
      </c>
      <c r="M36" s="45">
        <v>1.0</v>
      </c>
      <c r="N36" s="46">
        <f t="shared" si="2"/>
        <v>10</v>
      </c>
      <c r="O36" s="46">
        <f t="shared" si="3"/>
        <v>100</v>
      </c>
      <c r="P36" s="47">
        <v>85.5</v>
      </c>
      <c r="Q36" s="47">
        <f>42.5 + 25</f>
        <v>67.5</v>
      </c>
      <c r="R36" s="47">
        <v>82.0</v>
      </c>
      <c r="S36" s="47">
        <v>87.0</v>
      </c>
      <c r="T36" s="47">
        <v>89.5</v>
      </c>
      <c r="U36" s="47">
        <v>90.5</v>
      </c>
      <c r="V36" s="47">
        <v>80.0</v>
      </c>
      <c r="W36" s="48">
        <f t="shared" si="4"/>
        <v>83</v>
      </c>
      <c r="X36" s="49">
        <v>90.0</v>
      </c>
      <c r="Y36" s="49">
        <v>85.0</v>
      </c>
      <c r="Z36" s="49">
        <v>82.0</v>
      </c>
      <c r="AA36" s="49">
        <v>82.0</v>
      </c>
      <c r="AB36" s="49">
        <v>86.0</v>
      </c>
      <c r="AC36" s="49">
        <v>84.0</v>
      </c>
      <c r="AD36" s="50">
        <f t="shared" si="5"/>
        <v>85</v>
      </c>
      <c r="AE36" s="51">
        <v>90.0</v>
      </c>
      <c r="AF36" s="51">
        <v>85.0</v>
      </c>
      <c r="AG36" s="51">
        <v>82.0</v>
      </c>
      <c r="AH36" s="51">
        <v>82.0</v>
      </c>
      <c r="AI36" s="51">
        <v>86.0</v>
      </c>
      <c r="AJ36" s="51">
        <v>84.0</v>
      </c>
      <c r="AK36" s="52">
        <f t="shared" si="6"/>
        <v>85</v>
      </c>
      <c r="AL36" s="53">
        <v>82.0</v>
      </c>
      <c r="AM36" s="54">
        <v>75.0</v>
      </c>
      <c r="AN36" s="55">
        <f t="shared" si="9"/>
        <v>79.2</v>
      </c>
      <c r="AO36" s="56">
        <f t="shared" si="7"/>
        <v>84.35</v>
      </c>
      <c r="AP36" s="57" t="str">
        <f t="shared" si="8"/>
        <v>B</v>
      </c>
    </row>
    <row r="37">
      <c r="A37" s="42">
        <v>34.0</v>
      </c>
      <c r="B37" s="44">
        <v>6.0200125152E10</v>
      </c>
      <c r="C37" s="44" t="s">
        <v>45</v>
      </c>
      <c r="D37" s="45">
        <v>1.0</v>
      </c>
      <c r="E37" s="45">
        <v>1.0</v>
      </c>
      <c r="F37" s="45">
        <v>1.0</v>
      </c>
      <c r="G37" s="45">
        <v>0.0</v>
      </c>
      <c r="H37" s="45">
        <v>1.0</v>
      </c>
      <c r="I37" s="45">
        <v>0.0</v>
      </c>
      <c r="J37" s="45">
        <v>1.0</v>
      </c>
      <c r="K37" s="45">
        <v>1.0</v>
      </c>
      <c r="L37" s="45">
        <f t="shared" si="12"/>
        <v>1</v>
      </c>
      <c r="M37" s="45">
        <v>0.0</v>
      </c>
      <c r="N37" s="46">
        <f t="shared" si="2"/>
        <v>7</v>
      </c>
      <c r="O37" s="46">
        <f t="shared" si="3"/>
        <v>70</v>
      </c>
      <c r="P37" s="47">
        <v>87.5</v>
      </c>
      <c r="Q37" s="47">
        <v>0.0</v>
      </c>
      <c r="R37" s="47">
        <v>0.0</v>
      </c>
      <c r="S37" s="47">
        <v>0.0</v>
      </c>
      <c r="T37" s="47">
        <v>86.0</v>
      </c>
      <c r="U37" s="47">
        <v>0.0</v>
      </c>
      <c r="V37" s="47">
        <v>65.0</v>
      </c>
      <c r="W37" s="48">
        <f t="shared" si="4"/>
        <v>34</v>
      </c>
      <c r="X37" s="49">
        <v>80.0</v>
      </c>
      <c r="Y37" s="49">
        <v>88.0</v>
      </c>
      <c r="Z37" s="49">
        <v>0.0</v>
      </c>
      <c r="AA37" s="49">
        <v>83.0</v>
      </c>
      <c r="AB37" s="49">
        <v>0.0</v>
      </c>
      <c r="AC37" s="49">
        <v>82.0</v>
      </c>
      <c r="AD37" s="50">
        <f t="shared" si="5"/>
        <v>56</v>
      </c>
      <c r="AE37" s="51">
        <v>80.0</v>
      </c>
      <c r="AF37" s="51">
        <v>88.0</v>
      </c>
      <c r="AG37" s="51">
        <v>0.0</v>
      </c>
      <c r="AH37" s="51">
        <v>83.0</v>
      </c>
      <c r="AI37" s="51">
        <v>0.0</v>
      </c>
      <c r="AJ37" s="51">
        <v>82.0</v>
      </c>
      <c r="AK37" s="52">
        <f t="shared" si="6"/>
        <v>56</v>
      </c>
      <c r="AL37" s="53">
        <v>70.0</v>
      </c>
      <c r="AM37" s="53">
        <v>0.0</v>
      </c>
      <c r="AN37" s="55">
        <f t="shared" si="9"/>
        <v>42</v>
      </c>
      <c r="AO37" s="56">
        <f t="shared" si="7"/>
        <v>46.2</v>
      </c>
      <c r="AP37" s="41" t="str">
        <f t="shared" si="8"/>
        <v>E</v>
      </c>
    </row>
    <row r="38">
      <c r="A38" s="42">
        <v>35.0</v>
      </c>
      <c r="B38" s="44">
        <v>6.0200125154E10</v>
      </c>
      <c r="C38" s="44" t="s">
        <v>46</v>
      </c>
      <c r="D38" s="45">
        <v>1.0</v>
      </c>
      <c r="E38" s="45">
        <v>1.0</v>
      </c>
      <c r="F38" s="45">
        <v>1.0</v>
      </c>
      <c r="G38" s="45">
        <v>1.0</v>
      </c>
      <c r="H38" s="45">
        <v>1.0</v>
      </c>
      <c r="I38" s="45">
        <v>1.0</v>
      </c>
      <c r="J38" s="45">
        <v>1.0</v>
      </c>
      <c r="K38" s="45">
        <v>1.0</v>
      </c>
      <c r="L38" s="45">
        <f t="shared" si="12"/>
        <v>1</v>
      </c>
      <c r="M38" s="45">
        <v>1.0</v>
      </c>
      <c r="N38" s="46">
        <f t="shared" si="2"/>
        <v>10</v>
      </c>
      <c r="O38" s="46">
        <f t="shared" si="3"/>
        <v>100</v>
      </c>
      <c r="P38" s="63">
        <v>87.5</v>
      </c>
      <c r="Q38" s="63">
        <v>89.0</v>
      </c>
      <c r="R38" s="63">
        <v>89.0</v>
      </c>
      <c r="S38" s="63">
        <v>89.0</v>
      </c>
      <c r="T38" s="63">
        <v>91.0</v>
      </c>
      <c r="U38" s="63">
        <v>91.5</v>
      </c>
      <c r="V38" s="63">
        <v>90.0</v>
      </c>
      <c r="W38" s="48">
        <f t="shared" si="4"/>
        <v>90</v>
      </c>
      <c r="X38" s="64">
        <v>88.0</v>
      </c>
      <c r="Y38" s="64">
        <v>85.0</v>
      </c>
      <c r="Z38" s="64">
        <v>88.0</v>
      </c>
      <c r="AA38" s="64">
        <v>83.0</v>
      </c>
      <c r="AB38" s="64">
        <v>68.0</v>
      </c>
      <c r="AC38" s="64">
        <v>88.0</v>
      </c>
      <c r="AD38" s="50">
        <f t="shared" si="5"/>
        <v>83</v>
      </c>
      <c r="AE38" s="65">
        <v>88.0</v>
      </c>
      <c r="AF38" s="65">
        <v>85.0</v>
      </c>
      <c r="AG38" s="65">
        <v>88.0</v>
      </c>
      <c r="AH38" s="65">
        <v>83.0</v>
      </c>
      <c r="AI38" s="65">
        <v>68.0</v>
      </c>
      <c r="AJ38" s="65">
        <v>88.0</v>
      </c>
      <c r="AK38" s="52">
        <f t="shared" si="6"/>
        <v>83</v>
      </c>
      <c r="AL38" s="55">
        <v>90.0</v>
      </c>
      <c r="AM38" s="54">
        <v>95.0</v>
      </c>
      <c r="AN38" s="55">
        <f t="shared" si="9"/>
        <v>92</v>
      </c>
      <c r="AO38" s="56">
        <f t="shared" si="7"/>
        <v>89.4</v>
      </c>
      <c r="AP38" s="57" t="str">
        <f t="shared" si="8"/>
        <v>A</v>
      </c>
    </row>
    <row r="39">
      <c r="A39" s="66"/>
      <c r="B39" s="67"/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70"/>
      <c r="AL39" s="71"/>
      <c r="AM39" s="71"/>
      <c r="AN39" s="71"/>
      <c r="AO39" s="72"/>
      <c r="AP39" s="73"/>
    </row>
    <row r="40">
      <c r="A40" s="42">
        <v>1.0</v>
      </c>
      <c r="B40" s="42" t="s">
        <v>47</v>
      </c>
      <c r="C40" s="74" t="s">
        <v>48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70"/>
      <c r="AL40" s="71"/>
      <c r="AM40" s="71"/>
      <c r="AN40" s="71"/>
      <c r="AO40" s="71"/>
      <c r="AP40" s="71"/>
    </row>
    <row r="41">
      <c r="A41" s="42">
        <v>2.0</v>
      </c>
      <c r="B41" s="42" t="s">
        <v>49</v>
      </c>
      <c r="C41" s="76" t="s">
        <v>50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70"/>
      <c r="AL41" s="71"/>
      <c r="AM41" s="71"/>
      <c r="AN41" s="71"/>
      <c r="AO41" s="71"/>
      <c r="AP41" s="71"/>
    </row>
    <row r="42">
      <c r="A42" s="74" t="s">
        <v>51</v>
      </c>
      <c r="B42" s="6"/>
      <c r="C42" s="7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70"/>
      <c r="AL42" s="71"/>
      <c r="AM42" s="71"/>
      <c r="AN42" s="71"/>
      <c r="AO42" s="71"/>
      <c r="AP42" s="71"/>
    </row>
    <row r="43">
      <c r="A43" s="74" t="s">
        <v>52</v>
      </c>
      <c r="B43" s="6"/>
      <c r="C43" s="7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70"/>
      <c r="AL43" s="71"/>
      <c r="AM43" s="71"/>
      <c r="AN43" s="71"/>
      <c r="AO43" s="71"/>
      <c r="AP43" s="71"/>
    </row>
    <row r="44">
      <c r="A44" s="77"/>
      <c r="B44" s="77"/>
      <c r="C44" s="77"/>
      <c r="D44" s="77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8"/>
      <c r="AL44" s="79"/>
      <c r="AM44" s="79"/>
      <c r="AN44" s="79"/>
      <c r="AO44" s="79"/>
      <c r="AP44" s="79"/>
    </row>
    <row r="45">
      <c r="A45" s="77"/>
      <c r="B45" s="77"/>
      <c r="C45" s="77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8"/>
      <c r="AL45" s="79"/>
      <c r="AM45" s="79"/>
      <c r="AN45" s="79"/>
      <c r="AO45" s="79"/>
      <c r="AP45" s="79"/>
    </row>
    <row r="46">
      <c r="A46" s="77"/>
      <c r="B46" s="77"/>
      <c r="C46" s="80" t="s">
        <v>53</v>
      </c>
      <c r="D46" s="81">
        <v>0.1</v>
      </c>
      <c r="E46" s="82"/>
      <c r="F46" s="82"/>
      <c r="G46" s="82"/>
      <c r="H46" s="82"/>
      <c r="I46" s="82"/>
      <c r="J46" s="82"/>
      <c r="K46" s="82"/>
      <c r="L46" s="82"/>
      <c r="M46" s="82"/>
      <c r="N46" s="78"/>
      <c r="O46" s="78"/>
      <c r="P46" s="83"/>
      <c r="Q46" s="83"/>
      <c r="R46" s="83"/>
      <c r="S46" s="83"/>
      <c r="T46" s="83"/>
      <c r="U46" s="83"/>
      <c r="V46" s="83"/>
      <c r="W46" s="82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8"/>
      <c r="AL46" s="79"/>
      <c r="AM46" s="79"/>
      <c r="AN46" s="79"/>
      <c r="AO46" s="79"/>
      <c r="AP46" s="79"/>
    </row>
    <row r="47">
      <c r="A47" s="77"/>
      <c r="B47" s="77"/>
      <c r="C47" s="84" t="s">
        <v>6</v>
      </c>
      <c r="D47" s="81">
        <v>0.15</v>
      </c>
      <c r="E47" s="82"/>
      <c r="F47" s="82"/>
      <c r="G47" s="82"/>
      <c r="H47" s="82"/>
      <c r="I47" s="82"/>
      <c r="J47" s="82"/>
      <c r="K47" s="82"/>
      <c r="L47" s="82"/>
      <c r="M47" s="82"/>
      <c r="N47" s="78"/>
      <c r="O47" s="78"/>
      <c r="P47" s="85"/>
      <c r="Q47" s="85"/>
      <c r="R47" s="85"/>
      <c r="S47" s="85"/>
      <c r="T47" s="85"/>
      <c r="U47" s="85"/>
      <c r="V47" s="85"/>
      <c r="W47" s="82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8"/>
      <c r="AL47" s="57"/>
      <c r="AM47" s="79"/>
      <c r="AN47" s="79"/>
      <c r="AO47" s="79"/>
      <c r="AP47" s="79"/>
    </row>
    <row r="48">
      <c r="A48" s="77"/>
      <c r="B48" s="77"/>
      <c r="C48" s="84" t="s">
        <v>54</v>
      </c>
      <c r="D48" s="81">
        <v>0.15</v>
      </c>
      <c r="E48" s="82"/>
      <c r="F48" s="82"/>
      <c r="G48" s="82"/>
      <c r="H48" s="82"/>
      <c r="I48" s="82"/>
      <c r="J48" s="82"/>
      <c r="K48" s="82"/>
      <c r="L48" s="82"/>
      <c r="M48" s="82"/>
      <c r="N48" s="78"/>
      <c r="O48" s="78"/>
      <c r="P48" s="85"/>
      <c r="Q48" s="85"/>
      <c r="R48" s="85"/>
      <c r="S48" s="85"/>
      <c r="T48" s="85"/>
      <c r="U48" s="85"/>
      <c r="V48" s="85"/>
      <c r="W48" s="82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8"/>
      <c r="AL48" s="57"/>
      <c r="AM48" s="79"/>
      <c r="AN48" s="79"/>
      <c r="AO48" s="79"/>
      <c r="AP48" s="79"/>
    </row>
    <row r="49">
      <c r="A49" s="77"/>
      <c r="B49" s="77"/>
      <c r="C49" s="84" t="s">
        <v>55</v>
      </c>
      <c r="D49" s="81">
        <v>0.35</v>
      </c>
      <c r="E49" s="82"/>
      <c r="F49" s="82"/>
      <c r="G49" s="82"/>
      <c r="H49" s="82"/>
      <c r="I49" s="82"/>
      <c r="J49" s="82"/>
      <c r="K49" s="82"/>
      <c r="L49" s="82"/>
      <c r="M49" s="82"/>
      <c r="N49" s="78"/>
      <c r="O49" s="78"/>
      <c r="P49" s="85"/>
      <c r="Q49" s="85"/>
      <c r="R49" s="85"/>
      <c r="S49" s="85"/>
      <c r="T49" s="85"/>
      <c r="U49" s="85"/>
      <c r="V49" s="85"/>
      <c r="W49" s="82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8"/>
      <c r="AL49" s="57"/>
      <c r="AM49" s="79"/>
      <c r="AN49" s="79"/>
      <c r="AO49" s="79"/>
      <c r="AP49" s="79"/>
    </row>
    <row r="50">
      <c r="A50" s="77"/>
      <c r="B50" s="77"/>
      <c r="C50" s="84" t="s">
        <v>56</v>
      </c>
      <c r="D50" s="81">
        <v>0.25</v>
      </c>
      <c r="E50" s="82"/>
      <c r="F50" s="82"/>
      <c r="G50" s="82"/>
      <c r="H50" s="82"/>
      <c r="I50" s="82"/>
      <c r="J50" s="82"/>
      <c r="K50" s="82"/>
      <c r="L50" s="82"/>
      <c r="M50" s="82"/>
      <c r="N50" s="78"/>
      <c r="O50" s="78"/>
      <c r="P50" s="85"/>
      <c r="Q50" s="85"/>
      <c r="R50" s="85"/>
      <c r="S50" s="85"/>
      <c r="T50" s="85"/>
      <c r="U50" s="85"/>
      <c r="V50" s="85"/>
      <c r="W50" s="82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8"/>
      <c r="AL50" s="57"/>
      <c r="AM50" s="79"/>
      <c r="AN50" s="79"/>
      <c r="AO50" s="79"/>
      <c r="AP50" s="79"/>
    </row>
    <row r="51">
      <c r="A51" s="77"/>
      <c r="B51" s="77"/>
      <c r="C51" s="77"/>
      <c r="D51" s="77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85"/>
      <c r="Q51" s="85"/>
      <c r="R51" s="85"/>
      <c r="S51" s="85"/>
      <c r="T51" s="85"/>
      <c r="U51" s="85"/>
      <c r="V51" s="85"/>
      <c r="W51" s="78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8"/>
      <c r="AL51" s="57"/>
      <c r="AM51" s="79"/>
      <c r="AN51" s="79"/>
      <c r="AO51" s="79"/>
      <c r="AP51" s="79"/>
    </row>
    <row r="52">
      <c r="A52" s="77"/>
      <c r="B52" s="77"/>
      <c r="C52" s="77"/>
      <c r="D52" s="77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85"/>
      <c r="Q52" s="85"/>
      <c r="R52" s="85"/>
      <c r="S52" s="85"/>
      <c r="T52" s="85"/>
      <c r="U52" s="85"/>
      <c r="V52" s="85"/>
      <c r="W52" s="78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8"/>
      <c r="AL52" s="57"/>
      <c r="AM52" s="79"/>
      <c r="AN52" s="79"/>
      <c r="AO52" s="79"/>
      <c r="AP52" s="79"/>
    </row>
    <row r="53">
      <c r="A53" s="77"/>
      <c r="B53" s="77"/>
      <c r="C53" s="86" t="s">
        <v>57</v>
      </c>
      <c r="D53" s="77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85"/>
      <c r="Q53" s="85"/>
      <c r="R53" s="85"/>
      <c r="S53" s="85"/>
      <c r="T53" s="85"/>
      <c r="U53" s="85"/>
      <c r="V53" s="85"/>
      <c r="W53" s="78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8"/>
      <c r="AL53" s="57"/>
      <c r="AM53" s="79"/>
      <c r="AN53" s="79"/>
      <c r="AO53" s="79"/>
      <c r="AP53" s="79"/>
    </row>
    <row r="54">
      <c r="A54" s="77"/>
      <c r="B54" s="77"/>
      <c r="C54" s="86" t="s">
        <v>32</v>
      </c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85"/>
      <c r="Q54" s="85"/>
      <c r="R54" s="85"/>
      <c r="S54" s="85"/>
      <c r="T54" s="85"/>
      <c r="U54" s="85"/>
      <c r="V54" s="85"/>
      <c r="W54" s="78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8"/>
      <c r="AL54" s="57"/>
      <c r="AM54" s="79"/>
      <c r="AN54" s="79"/>
      <c r="AO54" s="79"/>
      <c r="AP54" s="79"/>
    </row>
    <row r="55">
      <c r="A55" s="77"/>
      <c r="B55" s="77"/>
      <c r="C55" s="44" t="s">
        <v>46</v>
      </c>
      <c r="D55" s="77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85"/>
      <c r="Q55" s="85"/>
      <c r="R55" s="85"/>
      <c r="S55" s="85"/>
      <c r="T55" s="85"/>
      <c r="U55" s="85"/>
      <c r="V55" s="85"/>
      <c r="W55" s="78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8"/>
      <c r="AL55" s="57"/>
      <c r="AM55" s="79"/>
      <c r="AN55" s="79"/>
      <c r="AO55" s="79"/>
      <c r="AP55" s="79"/>
    </row>
    <row r="56">
      <c r="A56" s="77"/>
      <c r="B56" s="77"/>
      <c r="C56" s="87"/>
      <c r="D56" s="7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85"/>
      <c r="Q56" s="85"/>
      <c r="R56" s="85"/>
      <c r="S56" s="85"/>
      <c r="T56" s="85"/>
      <c r="U56" s="85"/>
      <c r="V56" s="85"/>
      <c r="W56" s="78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8"/>
      <c r="AL56" s="57"/>
      <c r="AM56" s="79"/>
      <c r="AN56" s="79"/>
      <c r="AO56" s="79"/>
      <c r="AP56" s="79"/>
    </row>
    <row r="57">
      <c r="A57" s="77"/>
      <c r="B57" s="77"/>
      <c r="C57" s="77"/>
      <c r="D57" s="7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85"/>
      <c r="Q57" s="85"/>
      <c r="R57" s="85"/>
      <c r="S57" s="85"/>
      <c r="T57" s="85"/>
      <c r="U57" s="85"/>
      <c r="V57" s="85"/>
      <c r="W57" s="78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8"/>
      <c r="AL57" s="57"/>
      <c r="AM57" s="79"/>
      <c r="AN57" s="79"/>
      <c r="AO57" s="79"/>
      <c r="AP57" s="79"/>
    </row>
    <row r="58">
      <c r="A58" s="77"/>
      <c r="B58" s="77"/>
      <c r="C58" s="77"/>
      <c r="D58" s="77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85"/>
      <c r="Q58" s="85"/>
      <c r="R58" s="85"/>
      <c r="S58" s="85"/>
      <c r="T58" s="85"/>
      <c r="U58" s="85"/>
      <c r="V58" s="85"/>
      <c r="W58" s="78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8"/>
      <c r="AL58" s="57"/>
      <c r="AM58" s="79"/>
      <c r="AN58" s="79"/>
      <c r="AO58" s="79"/>
      <c r="AP58" s="79"/>
    </row>
    <row r="59">
      <c r="A59" s="77"/>
      <c r="B59" s="77"/>
      <c r="C59" s="77"/>
      <c r="D59" s="77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85"/>
      <c r="Q59" s="85"/>
      <c r="R59" s="85"/>
      <c r="S59" s="85"/>
      <c r="T59" s="85"/>
      <c r="U59" s="85"/>
      <c r="V59" s="85"/>
      <c r="W59" s="78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8"/>
      <c r="AL59" s="57"/>
      <c r="AM59" s="79"/>
      <c r="AN59" s="79"/>
      <c r="AO59" s="79"/>
      <c r="AP59" s="79"/>
    </row>
    <row r="60">
      <c r="A60" s="77"/>
      <c r="B60" s="77"/>
      <c r="C60" s="77"/>
      <c r="D60" s="77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85"/>
      <c r="Q60" s="85"/>
      <c r="R60" s="85"/>
      <c r="S60" s="85"/>
      <c r="T60" s="85"/>
      <c r="U60" s="85"/>
      <c r="V60" s="85"/>
      <c r="W60" s="78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8"/>
      <c r="AL60" s="57"/>
      <c r="AM60" s="79"/>
      <c r="AN60" s="79"/>
      <c r="AO60" s="79"/>
      <c r="AP60" s="79"/>
    </row>
    <row r="61">
      <c r="A61" s="77"/>
      <c r="B61" s="77"/>
      <c r="C61" s="77"/>
      <c r="D61" s="77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85"/>
      <c r="Q61" s="85"/>
      <c r="R61" s="85"/>
      <c r="S61" s="85"/>
      <c r="T61" s="85"/>
      <c r="U61" s="85"/>
      <c r="V61" s="85"/>
      <c r="W61" s="78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8"/>
      <c r="AL61" s="57"/>
      <c r="AM61" s="79"/>
      <c r="AN61" s="79"/>
      <c r="AO61" s="79"/>
      <c r="AP61" s="79"/>
    </row>
    <row r="62">
      <c r="A62" s="77"/>
      <c r="B62" s="77"/>
      <c r="C62" s="77"/>
      <c r="D62" s="77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85"/>
      <c r="Q62" s="85"/>
      <c r="R62" s="85"/>
      <c r="S62" s="85"/>
      <c r="T62" s="85"/>
      <c r="U62" s="85"/>
      <c r="V62" s="85"/>
      <c r="W62" s="78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8"/>
      <c r="AL62" s="57"/>
      <c r="AM62" s="79"/>
      <c r="AN62" s="79"/>
      <c r="AO62" s="79"/>
      <c r="AP62" s="79"/>
    </row>
    <row r="63">
      <c r="A63" s="77"/>
      <c r="B63" s="77"/>
      <c r="C63" s="77"/>
      <c r="D63" s="77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85"/>
      <c r="Q63" s="85"/>
      <c r="R63" s="85"/>
      <c r="S63" s="85"/>
      <c r="T63" s="85"/>
      <c r="U63" s="85"/>
      <c r="V63" s="85"/>
      <c r="W63" s="78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8"/>
      <c r="AL63" s="57"/>
      <c r="AM63" s="79"/>
      <c r="AN63" s="79"/>
      <c r="AO63" s="79"/>
      <c r="AP63" s="79"/>
    </row>
    <row r="64">
      <c r="A64" s="77"/>
      <c r="B64" s="77"/>
      <c r="C64" s="77"/>
      <c r="D64" s="77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85"/>
      <c r="Q64" s="85"/>
      <c r="R64" s="85"/>
      <c r="S64" s="85"/>
      <c r="T64" s="85"/>
      <c r="U64" s="85"/>
      <c r="V64" s="85"/>
      <c r="W64" s="78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8"/>
      <c r="AL64" s="57"/>
      <c r="AM64" s="79"/>
      <c r="AN64" s="79"/>
      <c r="AO64" s="79"/>
      <c r="AP64" s="79"/>
    </row>
    <row r="65">
      <c r="A65" s="77"/>
      <c r="B65" s="77"/>
      <c r="C65" s="77"/>
      <c r="D65" s="77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85"/>
      <c r="Q65" s="85"/>
      <c r="R65" s="85"/>
      <c r="S65" s="85"/>
      <c r="T65" s="85"/>
      <c r="U65" s="85"/>
      <c r="V65" s="85"/>
      <c r="W65" s="78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8"/>
      <c r="AL65" s="57"/>
      <c r="AM65" s="79"/>
      <c r="AN65" s="79"/>
      <c r="AO65" s="79"/>
      <c r="AP65" s="79"/>
    </row>
    <row r="66">
      <c r="A66" s="77"/>
      <c r="B66" s="77"/>
      <c r="C66" s="77"/>
      <c r="D66" s="77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85"/>
      <c r="Q66" s="85"/>
      <c r="R66" s="85"/>
      <c r="S66" s="85"/>
      <c r="T66" s="85"/>
      <c r="U66" s="85"/>
      <c r="V66" s="85"/>
      <c r="W66" s="78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8"/>
      <c r="AL66" s="57"/>
      <c r="AM66" s="79"/>
      <c r="AN66" s="79"/>
      <c r="AO66" s="79"/>
      <c r="AP66" s="79"/>
    </row>
    <row r="67">
      <c r="A67" s="77"/>
      <c r="B67" s="77"/>
      <c r="C67" s="77"/>
      <c r="D67" s="77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85"/>
      <c r="Q67" s="85"/>
      <c r="R67" s="85"/>
      <c r="S67" s="85"/>
      <c r="T67" s="85"/>
      <c r="U67" s="85"/>
      <c r="V67" s="85"/>
      <c r="W67" s="78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8"/>
      <c r="AL67" s="57"/>
      <c r="AM67" s="79"/>
      <c r="AN67" s="79"/>
      <c r="AO67" s="79"/>
      <c r="AP67" s="79"/>
    </row>
    <row r="68"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9"/>
      <c r="Q68" s="89"/>
      <c r="R68" s="89"/>
      <c r="S68" s="89"/>
      <c r="T68" s="89"/>
      <c r="U68" s="89"/>
      <c r="V68" s="89"/>
      <c r="W68" s="88"/>
      <c r="AK68" s="88"/>
      <c r="AL68" s="90"/>
      <c r="AM68" s="91"/>
      <c r="AN68" s="91"/>
      <c r="AO68" s="91"/>
      <c r="AP68" s="91"/>
    </row>
    <row r="69"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9"/>
      <c r="Q69" s="89"/>
      <c r="R69" s="89"/>
      <c r="S69" s="89"/>
      <c r="T69" s="89"/>
      <c r="U69" s="89"/>
      <c r="V69" s="89"/>
      <c r="W69" s="88"/>
      <c r="AK69" s="88"/>
      <c r="AL69" s="90"/>
      <c r="AM69" s="91"/>
      <c r="AN69" s="91"/>
      <c r="AO69" s="91"/>
      <c r="AP69" s="91"/>
    </row>
    <row r="70"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9"/>
      <c r="Q70" s="89"/>
      <c r="R70" s="89"/>
      <c r="S70" s="89"/>
      <c r="T70" s="89"/>
      <c r="U70" s="89"/>
      <c r="V70" s="89"/>
      <c r="W70" s="88"/>
      <c r="AK70" s="88"/>
      <c r="AL70" s="90"/>
      <c r="AM70" s="91"/>
      <c r="AN70" s="91"/>
      <c r="AO70" s="91"/>
      <c r="AP70" s="91"/>
    </row>
    <row r="71"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9"/>
      <c r="Q71" s="89"/>
      <c r="R71" s="89"/>
      <c r="S71" s="89"/>
      <c r="T71" s="89"/>
      <c r="U71" s="89"/>
      <c r="V71" s="89"/>
      <c r="W71" s="88"/>
      <c r="AK71" s="88"/>
      <c r="AL71" s="90"/>
      <c r="AM71" s="91"/>
      <c r="AN71" s="91"/>
      <c r="AO71" s="91"/>
      <c r="AP71" s="91"/>
    </row>
    <row r="72"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9"/>
      <c r="Q72" s="89"/>
      <c r="R72" s="89"/>
      <c r="S72" s="89"/>
      <c r="T72" s="89"/>
      <c r="U72" s="89"/>
      <c r="V72" s="89"/>
      <c r="W72" s="88"/>
      <c r="AK72" s="88"/>
      <c r="AL72" s="90"/>
      <c r="AM72" s="91"/>
      <c r="AN72" s="91"/>
      <c r="AO72" s="91"/>
      <c r="AP72" s="91"/>
    </row>
    <row r="73"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9"/>
      <c r="Q73" s="89"/>
      <c r="R73" s="89"/>
      <c r="S73" s="89"/>
      <c r="T73" s="89"/>
      <c r="U73" s="89"/>
      <c r="V73" s="89"/>
      <c r="W73" s="88"/>
      <c r="AK73" s="88"/>
      <c r="AL73" s="90"/>
      <c r="AM73" s="91"/>
      <c r="AN73" s="91"/>
      <c r="AO73" s="91"/>
      <c r="AP73" s="91"/>
    </row>
    <row r="74"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Q74" s="89"/>
      <c r="R74" s="89"/>
      <c r="S74" s="89"/>
      <c r="T74" s="89"/>
      <c r="U74" s="89"/>
      <c r="V74" s="89"/>
      <c r="W74" s="88"/>
      <c r="AK74" s="88"/>
      <c r="AL74" s="90"/>
      <c r="AM74" s="91"/>
      <c r="AN74" s="91"/>
      <c r="AO74" s="91"/>
      <c r="AP74" s="91"/>
    </row>
    <row r="75"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9"/>
      <c r="Q75" s="89"/>
      <c r="R75" s="89"/>
      <c r="S75" s="89"/>
      <c r="T75" s="89"/>
      <c r="U75" s="89"/>
      <c r="V75" s="89"/>
      <c r="W75" s="88"/>
      <c r="AK75" s="88"/>
      <c r="AL75" s="90"/>
      <c r="AM75" s="91"/>
      <c r="AN75" s="91"/>
      <c r="AO75" s="91"/>
      <c r="AP75" s="91"/>
    </row>
    <row r="76"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9"/>
      <c r="Q76" s="89"/>
      <c r="R76" s="89"/>
      <c r="S76" s="89"/>
      <c r="T76" s="89"/>
      <c r="U76" s="89"/>
      <c r="V76" s="89"/>
      <c r="W76" s="88"/>
      <c r="AK76" s="88"/>
      <c r="AL76" s="90"/>
      <c r="AM76" s="91"/>
      <c r="AN76" s="91"/>
      <c r="AO76" s="91"/>
      <c r="AP76" s="91"/>
    </row>
    <row r="77"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9"/>
      <c r="Q77" s="89"/>
      <c r="R77" s="89"/>
      <c r="S77" s="89"/>
      <c r="T77" s="89"/>
      <c r="U77" s="89"/>
      <c r="V77" s="89"/>
      <c r="W77" s="88"/>
      <c r="AK77" s="88"/>
      <c r="AL77" s="90"/>
      <c r="AM77" s="91"/>
      <c r="AN77" s="91"/>
      <c r="AO77" s="91"/>
      <c r="AP77" s="91"/>
    </row>
    <row r="78"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9"/>
      <c r="Q78" s="89"/>
      <c r="R78" s="89"/>
      <c r="S78" s="89"/>
      <c r="T78" s="89"/>
      <c r="U78" s="89"/>
      <c r="V78" s="89"/>
      <c r="W78" s="88"/>
      <c r="AK78" s="88"/>
      <c r="AL78" s="90"/>
      <c r="AM78" s="92"/>
      <c r="AN78" s="91"/>
      <c r="AO78" s="91"/>
      <c r="AP78" s="91"/>
    </row>
    <row r="79"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9"/>
      <c r="Q79" s="89"/>
      <c r="R79" s="89"/>
      <c r="S79" s="89"/>
      <c r="T79" s="89"/>
      <c r="U79" s="89"/>
      <c r="V79" s="89"/>
      <c r="W79" s="88"/>
      <c r="AK79" s="88"/>
      <c r="AL79" s="90"/>
      <c r="AM79" s="91"/>
      <c r="AN79" s="91"/>
      <c r="AO79" s="91"/>
      <c r="AP79" s="91"/>
    </row>
    <row r="80"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9"/>
      <c r="Q80" s="89"/>
      <c r="R80" s="89"/>
      <c r="S80" s="89"/>
      <c r="T80" s="89"/>
      <c r="U80" s="89"/>
      <c r="V80" s="89"/>
      <c r="W80" s="88"/>
      <c r="AK80" s="88"/>
      <c r="AL80" s="90"/>
      <c r="AM80" s="91"/>
      <c r="AN80" s="91"/>
      <c r="AO80" s="91"/>
      <c r="AP80" s="91"/>
    </row>
    <row r="81"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AK81" s="88"/>
      <c r="AL81" s="90"/>
      <c r="AM81" s="91"/>
      <c r="AN81" s="91"/>
      <c r="AO81" s="91"/>
      <c r="AP81" s="91"/>
    </row>
    <row r="82"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AK82" s="88"/>
      <c r="AL82" s="91"/>
      <c r="AM82" s="91"/>
      <c r="AN82" s="91"/>
      <c r="AO82" s="91"/>
      <c r="AP82" s="91"/>
    </row>
    <row r="83"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AK83" s="88"/>
      <c r="AL83" s="91"/>
      <c r="AM83" s="91"/>
      <c r="AN83" s="91"/>
      <c r="AO83" s="91"/>
      <c r="AP83" s="91"/>
    </row>
    <row r="84"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AK84" s="88"/>
      <c r="AL84" s="91"/>
      <c r="AM84" s="91"/>
      <c r="AN84" s="91"/>
      <c r="AO84" s="91"/>
      <c r="AP84" s="91"/>
    </row>
    <row r="85"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AK85" s="88"/>
      <c r="AL85" s="91"/>
      <c r="AM85" s="91"/>
      <c r="AN85" s="91"/>
      <c r="AO85" s="91"/>
      <c r="AP85" s="91"/>
    </row>
    <row r="86"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AK86" s="88"/>
      <c r="AL86" s="91"/>
      <c r="AM86" s="91"/>
      <c r="AN86" s="91"/>
      <c r="AO86" s="91"/>
      <c r="AP86" s="91"/>
    </row>
    <row r="87"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AK87" s="88"/>
      <c r="AL87" s="91"/>
      <c r="AM87" s="91"/>
      <c r="AN87" s="91"/>
      <c r="AO87" s="91"/>
      <c r="AP87" s="91"/>
    </row>
    <row r="88"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AK88" s="88"/>
      <c r="AL88" s="91"/>
      <c r="AM88" s="91"/>
      <c r="AN88" s="91"/>
      <c r="AO88" s="91"/>
      <c r="AP88" s="91"/>
    </row>
    <row r="89"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AK89" s="88"/>
      <c r="AL89" s="91"/>
      <c r="AM89" s="91"/>
      <c r="AN89" s="91"/>
      <c r="AO89" s="91"/>
      <c r="AP89" s="91"/>
    </row>
    <row r="90"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AK90" s="88"/>
      <c r="AL90" s="91"/>
      <c r="AM90" s="91"/>
      <c r="AN90" s="91"/>
      <c r="AO90" s="91"/>
      <c r="AP90" s="91"/>
    </row>
    <row r="91"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AK91" s="88"/>
      <c r="AL91" s="91"/>
      <c r="AM91" s="91"/>
      <c r="AN91" s="91"/>
      <c r="AO91" s="91"/>
      <c r="AP91" s="91"/>
    </row>
    <row r="92"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AK92" s="88"/>
      <c r="AL92" s="91"/>
      <c r="AM92" s="91"/>
      <c r="AN92" s="91"/>
      <c r="AO92" s="91"/>
      <c r="AP92" s="91"/>
    </row>
    <row r="93"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AK93" s="88"/>
      <c r="AL93" s="91"/>
      <c r="AM93" s="91"/>
      <c r="AN93" s="91"/>
      <c r="AO93" s="91"/>
      <c r="AP93" s="91"/>
    </row>
    <row r="94"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AK94" s="88"/>
      <c r="AL94" s="91"/>
      <c r="AM94" s="91"/>
      <c r="AN94" s="91"/>
      <c r="AO94" s="91"/>
      <c r="AP94" s="91"/>
    </row>
    <row r="95"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AK95" s="88"/>
      <c r="AL95" s="91"/>
      <c r="AM95" s="91"/>
      <c r="AN95" s="91"/>
      <c r="AO95" s="91"/>
      <c r="AP95" s="91"/>
    </row>
    <row r="96"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AK96" s="88"/>
      <c r="AL96" s="91"/>
      <c r="AM96" s="91"/>
      <c r="AN96" s="91"/>
      <c r="AO96" s="91"/>
      <c r="AP96" s="91"/>
    </row>
    <row r="97"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AK97" s="88"/>
      <c r="AL97" s="91"/>
      <c r="AM97" s="91"/>
      <c r="AN97" s="91"/>
      <c r="AO97" s="91"/>
      <c r="AP97" s="91"/>
    </row>
    <row r="98"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AK98" s="88"/>
      <c r="AL98" s="91"/>
      <c r="AM98" s="91"/>
      <c r="AN98" s="91"/>
      <c r="AO98" s="91"/>
      <c r="AP98" s="91"/>
    </row>
    <row r="99"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AK99" s="88"/>
      <c r="AL99" s="91"/>
      <c r="AM99" s="91"/>
      <c r="AN99" s="91"/>
      <c r="AO99" s="91"/>
      <c r="AP99" s="91"/>
    </row>
    <row r="100"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AK100" s="88"/>
      <c r="AL100" s="91"/>
      <c r="AM100" s="91"/>
      <c r="AN100" s="91"/>
      <c r="AO100" s="91"/>
      <c r="AP100" s="91"/>
    </row>
    <row r="101"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AK101" s="88"/>
      <c r="AL101" s="91"/>
      <c r="AM101" s="91"/>
      <c r="AN101" s="91"/>
      <c r="AO101" s="91"/>
      <c r="AP101" s="91"/>
    </row>
    <row r="102"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AK102" s="88"/>
      <c r="AL102" s="91"/>
      <c r="AM102" s="91"/>
      <c r="AN102" s="91"/>
      <c r="AO102" s="91"/>
      <c r="AP102" s="91"/>
    </row>
    <row r="103"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AK103" s="88"/>
      <c r="AL103" s="91"/>
      <c r="AM103" s="91"/>
      <c r="AN103" s="91"/>
      <c r="AO103" s="91"/>
      <c r="AP103" s="91"/>
    </row>
    <row r="104"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AK104" s="88"/>
      <c r="AL104" s="91"/>
      <c r="AM104" s="91"/>
      <c r="AN104" s="91"/>
      <c r="AO104" s="91"/>
      <c r="AP104" s="91"/>
    </row>
    <row r="105"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AK105" s="88"/>
      <c r="AL105" s="91"/>
      <c r="AM105" s="91"/>
      <c r="AN105" s="91"/>
      <c r="AO105" s="91"/>
      <c r="AP105" s="91"/>
    </row>
    <row r="106"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AK106" s="88"/>
      <c r="AL106" s="91"/>
      <c r="AM106" s="91"/>
      <c r="AN106" s="91"/>
      <c r="AO106" s="91"/>
      <c r="AP106" s="91"/>
    </row>
    <row r="107">
      <c r="AK107" s="88"/>
      <c r="AL107" s="91"/>
      <c r="AM107" s="91"/>
      <c r="AN107" s="91"/>
      <c r="AO107" s="91"/>
      <c r="AP107" s="91"/>
    </row>
    <row r="108">
      <c r="AK108" s="88"/>
      <c r="AL108" s="91"/>
      <c r="AM108" s="91"/>
      <c r="AN108" s="91"/>
      <c r="AO108" s="91"/>
      <c r="AP108" s="91"/>
    </row>
    <row r="109">
      <c r="AK109" s="88"/>
      <c r="AL109" s="91"/>
      <c r="AM109" s="91"/>
      <c r="AN109" s="91"/>
      <c r="AO109" s="91"/>
      <c r="AP109" s="91"/>
    </row>
    <row r="110">
      <c r="AK110" s="88"/>
      <c r="AL110" s="91"/>
      <c r="AM110" s="91"/>
      <c r="AN110" s="91"/>
      <c r="AO110" s="91"/>
      <c r="AP110" s="91"/>
    </row>
    <row r="111">
      <c r="AK111" s="88"/>
      <c r="AL111" s="91"/>
      <c r="AM111" s="91"/>
      <c r="AN111" s="91"/>
      <c r="AO111" s="91"/>
      <c r="AP111" s="91"/>
    </row>
    <row r="112">
      <c r="AK112" s="88"/>
      <c r="AL112" s="91"/>
      <c r="AM112" s="91"/>
      <c r="AN112" s="91"/>
      <c r="AO112" s="91"/>
      <c r="AP112" s="91"/>
    </row>
    <row r="113">
      <c r="AK113" s="88"/>
      <c r="AL113" s="91"/>
      <c r="AM113" s="91"/>
      <c r="AN113" s="91"/>
      <c r="AO113" s="91"/>
      <c r="AP113" s="91"/>
    </row>
    <row r="114">
      <c r="AK114" s="88"/>
      <c r="AL114" s="91"/>
      <c r="AM114" s="91"/>
      <c r="AN114" s="91"/>
      <c r="AO114" s="91"/>
      <c r="AP114" s="91"/>
    </row>
    <row r="115">
      <c r="AK115" s="88"/>
      <c r="AL115" s="91"/>
      <c r="AM115" s="91"/>
      <c r="AN115" s="91"/>
      <c r="AO115" s="91"/>
      <c r="AP115" s="91"/>
    </row>
    <row r="116">
      <c r="AK116" s="88"/>
      <c r="AL116" s="91"/>
      <c r="AM116" s="91"/>
      <c r="AN116" s="91"/>
      <c r="AO116" s="91"/>
      <c r="AP116" s="91"/>
    </row>
    <row r="117">
      <c r="AK117" s="88"/>
      <c r="AL117" s="91"/>
      <c r="AM117" s="91"/>
      <c r="AN117" s="91"/>
      <c r="AO117" s="91"/>
      <c r="AP117" s="91"/>
    </row>
    <row r="118">
      <c r="AK118" s="88"/>
      <c r="AL118" s="91"/>
      <c r="AM118" s="91"/>
      <c r="AN118" s="91"/>
      <c r="AO118" s="91"/>
      <c r="AP118" s="91"/>
    </row>
    <row r="119">
      <c r="AK119" s="88"/>
      <c r="AL119" s="91"/>
      <c r="AM119" s="91"/>
      <c r="AN119" s="91"/>
      <c r="AO119" s="91"/>
      <c r="AP119" s="91"/>
    </row>
    <row r="120">
      <c r="AK120" s="88"/>
      <c r="AL120" s="91"/>
      <c r="AM120" s="91"/>
      <c r="AN120" s="91"/>
      <c r="AO120" s="91"/>
      <c r="AP120" s="91"/>
    </row>
    <row r="121">
      <c r="AK121" s="88"/>
      <c r="AL121" s="91"/>
      <c r="AM121" s="91"/>
      <c r="AN121" s="91"/>
      <c r="AO121" s="91"/>
      <c r="AP121" s="91"/>
    </row>
    <row r="122">
      <c r="AK122" s="88"/>
      <c r="AL122" s="91"/>
      <c r="AM122" s="91"/>
      <c r="AN122" s="91"/>
      <c r="AO122" s="91"/>
      <c r="AP122" s="91"/>
    </row>
    <row r="123">
      <c r="AK123" s="88"/>
      <c r="AL123" s="91"/>
      <c r="AM123" s="91"/>
      <c r="AN123" s="91"/>
      <c r="AO123" s="91"/>
      <c r="AP123" s="91"/>
    </row>
    <row r="124">
      <c r="AK124" s="88"/>
      <c r="AL124" s="91"/>
      <c r="AM124" s="91"/>
      <c r="AN124" s="91"/>
      <c r="AO124" s="91"/>
      <c r="AP124" s="91"/>
    </row>
    <row r="125">
      <c r="AK125" s="88"/>
      <c r="AL125" s="91"/>
      <c r="AM125" s="91"/>
      <c r="AN125" s="91"/>
      <c r="AO125" s="91"/>
      <c r="AP125" s="91"/>
    </row>
    <row r="126">
      <c r="AK126" s="88"/>
      <c r="AL126" s="91"/>
      <c r="AM126" s="91"/>
      <c r="AN126" s="91"/>
      <c r="AO126" s="91"/>
      <c r="AP126" s="91"/>
    </row>
    <row r="127">
      <c r="AK127" s="88"/>
      <c r="AL127" s="91"/>
      <c r="AM127" s="91"/>
      <c r="AN127" s="91"/>
      <c r="AO127" s="91"/>
      <c r="AP127" s="91"/>
    </row>
    <row r="128">
      <c r="AK128" s="88"/>
      <c r="AL128" s="91"/>
      <c r="AM128" s="91"/>
      <c r="AN128" s="91"/>
      <c r="AO128" s="91"/>
      <c r="AP128" s="91"/>
    </row>
    <row r="129">
      <c r="AK129" s="88"/>
      <c r="AL129" s="91"/>
      <c r="AM129" s="91"/>
      <c r="AN129" s="91"/>
      <c r="AO129" s="91"/>
      <c r="AP129" s="91"/>
    </row>
    <row r="130">
      <c r="AK130" s="88"/>
      <c r="AL130" s="91"/>
      <c r="AM130" s="91"/>
      <c r="AN130" s="91"/>
      <c r="AO130" s="91"/>
      <c r="AP130" s="91"/>
    </row>
    <row r="131">
      <c r="AK131" s="88"/>
      <c r="AL131" s="91"/>
      <c r="AM131" s="91"/>
      <c r="AN131" s="91"/>
      <c r="AO131" s="91"/>
      <c r="AP131" s="91"/>
    </row>
    <row r="132">
      <c r="AK132" s="88"/>
      <c r="AL132" s="91"/>
      <c r="AM132" s="91"/>
      <c r="AN132" s="91"/>
      <c r="AO132" s="91"/>
      <c r="AP132" s="91"/>
    </row>
    <row r="133">
      <c r="AK133" s="88"/>
      <c r="AL133" s="91"/>
      <c r="AM133" s="91"/>
      <c r="AN133" s="91"/>
      <c r="AO133" s="91"/>
      <c r="AP133" s="91"/>
    </row>
    <row r="134">
      <c r="AK134" s="88"/>
      <c r="AL134" s="91"/>
      <c r="AM134" s="91"/>
      <c r="AN134" s="91"/>
      <c r="AO134" s="91"/>
      <c r="AP134" s="91"/>
    </row>
    <row r="135">
      <c r="AK135" s="88"/>
      <c r="AL135" s="91"/>
      <c r="AM135" s="91"/>
      <c r="AN135" s="91"/>
      <c r="AO135" s="91"/>
      <c r="AP135" s="91"/>
    </row>
    <row r="136">
      <c r="AK136" s="88"/>
      <c r="AL136" s="91"/>
      <c r="AM136" s="91"/>
      <c r="AN136" s="91"/>
      <c r="AO136" s="91"/>
      <c r="AP136" s="91"/>
    </row>
    <row r="137">
      <c r="AK137" s="88"/>
      <c r="AL137" s="91"/>
      <c r="AM137" s="91"/>
      <c r="AN137" s="91"/>
      <c r="AO137" s="91"/>
      <c r="AP137" s="91"/>
    </row>
    <row r="138">
      <c r="AK138" s="88"/>
      <c r="AL138" s="91"/>
      <c r="AM138" s="91"/>
      <c r="AN138" s="91"/>
      <c r="AO138" s="91"/>
      <c r="AP138" s="91"/>
    </row>
    <row r="139">
      <c r="AK139" s="88"/>
      <c r="AL139" s="91"/>
      <c r="AM139" s="91"/>
      <c r="AN139" s="91"/>
      <c r="AO139" s="91"/>
      <c r="AP139" s="91"/>
    </row>
    <row r="140">
      <c r="AK140" s="88"/>
      <c r="AL140" s="91"/>
      <c r="AM140" s="91"/>
      <c r="AN140" s="91"/>
      <c r="AO140" s="91"/>
      <c r="AP140" s="91"/>
    </row>
    <row r="141">
      <c r="AK141" s="88"/>
      <c r="AL141" s="91"/>
      <c r="AM141" s="91"/>
      <c r="AN141" s="91"/>
      <c r="AO141" s="91"/>
      <c r="AP141" s="91"/>
    </row>
    <row r="142">
      <c r="AK142" s="88"/>
      <c r="AL142" s="91"/>
      <c r="AM142" s="91"/>
      <c r="AN142" s="91"/>
      <c r="AO142" s="91"/>
      <c r="AP142" s="91"/>
    </row>
    <row r="143">
      <c r="AK143" s="88"/>
      <c r="AL143" s="91"/>
      <c r="AM143" s="91"/>
      <c r="AN143" s="91"/>
      <c r="AO143" s="91"/>
      <c r="AP143" s="91"/>
    </row>
    <row r="144">
      <c r="AK144" s="88"/>
      <c r="AL144" s="91"/>
      <c r="AM144" s="91"/>
      <c r="AN144" s="91"/>
      <c r="AO144" s="91"/>
      <c r="AP144" s="91"/>
    </row>
    <row r="145">
      <c r="AK145" s="88"/>
      <c r="AL145" s="91"/>
      <c r="AM145" s="91"/>
      <c r="AN145" s="91"/>
      <c r="AO145" s="91"/>
      <c r="AP145" s="91"/>
    </row>
    <row r="146">
      <c r="AK146" s="88"/>
      <c r="AL146" s="91"/>
      <c r="AM146" s="91"/>
      <c r="AN146" s="91"/>
      <c r="AO146" s="91"/>
      <c r="AP146" s="91"/>
    </row>
    <row r="147">
      <c r="AK147" s="88"/>
      <c r="AL147" s="91"/>
      <c r="AM147" s="91"/>
      <c r="AN147" s="91"/>
      <c r="AO147" s="91"/>
      <c r="AP147" s="91"/>
    </row>
    <row r="148">
      <c r="AK148" s="88"/>
      <c r="AL148" s="91"/>
      <c r="AM148" s="91"/>
      <c r="AN148" s="91"/>
      <c r="AO148" s="91"/>
      <c r="AP148" s="91"/>
    </row>
    <row r="149">
      <c r="AK149" s="88"/>
      <c r="AL149" s="91"/>
      <c r="AM149" s="91"/>
      <c r="AN149" s="91"/>
      <c r="AO149" s="91"/>
      <c r="AP149" s="91"/>
    </row>
    <row r="150">
      <c r="AK150" s="88"/>
      <c r="AL150" s="91"/>
      <c r="AM150" s="91"/>
      <c r="AN150" s="91"/>
      <c r="AO150" s="91"/>
      <c r="AP150" s="91"/>
    </row>
    <row r="151">
      <c r="AK151" s="88"/>
      <c r="AL151" s="91"/>
      <c r="AM151" s="91"/>
      <c r="AN151" s="91"/>
      <c r="AO151" s="91"/>
      <c r="AP151" s="91"/>
    </row>
    <row r="152">
      <c r="AK152" s="88"/>
      <c r="AL152" s="91"/>
      <c r="AM152" s="91"/>
      <c r="AN152" s="91"/>
      <c r="AO152" s="91"/>
      <c r="AP152" s="91"/>
    </row>
    <row r="153">
      <c r="AK153" s="88"/>
      <c r="AL153" s="91"/>
      <c r="AM153" s="91"/>
      <c r="AN153" s="91"/>
      <c r="AO153" s="91"/>
      <c r="AP153" s="91"/>
    </row>
    <row r="154">
      <c r="AK154" s="88"/>
      <c r="AL154" s="91"/>
      <c r="AM154" s="91"/>
      <c r="AN154" s="91"/>
      <c r="AO154" s="91"/>
      <c r="AP154" s="91"/>
    </row>
    <row r="155">
      <c r="AK155" s="88"/>
      <c r="AL155" s="91"/>
      <c r="AM155" s="91"/>
      <c r="AN155" s="91"/>
      <c r="AO155" s="91"/>
      <c r="AP155" s="91"/>
    </row>
    <row r="156">
      <c r="AK156" s="88"/>
      <c r="AL156" s="91"/>
      <c r="AM156" s="91"/>
      <c r="AN156" s="91"/>
      <c r="AO156" s="91"/>
      <c r="AP156" s="91"/>
    </row>
    <row r="157">
      <c r="AK157" s="88"/>
      <c r="AL157" s="91"/>
      <c r="AM157" s="91"/>
      <c r="AN157" s="91"/>
      <c r="AO157" s="91"/>
      <c r="AP157" s="91"/>
    </row>
    <row r="158">
      <c r="AK158" s="88"/>
      <c r="AL158" s="91"/>
      <c r="AM158" s="91"/>
      <c r="AN158" s="91"/>
      <c r="AO158" s="91"/>
      <c r="AP158" s="91"/>
    </row>
    <row r="159">
      <c r="AK159" s="88"/>
      <c r="AL159" s="91"/>
      <c r="AM159" s="91"/>
      <c r="AN159" s="91"/>
      <c r="AO159" s="91"/>
      <c r="AP159" s="91"/>
    </row>
    <row r="160">
      <c r="AK160" s="88"/>
      <c r="AL160" s="91"/>
      <c r="AM160" s="91"/>
      <c r="AN160" s="91"/>
      <c r="AO160" s="91"/>
      <c r="AP160" s="91"/>
    </row>
    <row r="161">
      <c r="AK161" s="88"/>
      <c r="AL161" s="91"/>
      <c r="AM161" s="91"/>
      <c r="AN161" s="91"/>
      <c r="AO161" s="91"/>
      <c r="AP161" s="91"/>
    </row>
    <row r="162">
      <c r="AK162" s="88"/>
      <c r="AL162" s="91"/>
      <c r="AM162" s="91"/>
      <c r="AN162" s="91"/>
      <c r="AO162" s="91"/>
      <c r="AP162" s="91"/>
    </row>
    <row r="163">
      <c r="AK163" s="88"/>
      <c r="AL163" s="91"/>
      <c r="AM163" s="91"/>
      <c r="AN163" s="91"/>
      <c r="AO163" s="91"/>
      <c r="AP163" s="91"/>
    </row>
    <row r="164">
      <c r="AK164" s="88"/>
      <c r="AL164" s="91"/>
      <c r="AM164" s="91"/>
      <c r="AN164" s="91"/>
      <c r="AO164" s="91"/>
      <c r="AP164" s="91"/>
    </row>
    <row r="165">
      <c r="AK165" s="88"/>
      <c r="AL165" s="91"/>
      <c r="AM165" s="91"/>
      <c r="AN165" s="91"/>
      <c r="AO165" s="91"/>
      <c r="AP165" s="91"/>
    </row>
    <row r="166">
      <c r="AK166" s="88"/>
      <c r="AL166" s="91"/>
      <c r="AM166" s="91"/>
      <c r="AN166" s="91"/>
      <c r="AO166" s="91"/>
      <c r="AP166" s="91"/>
    </row>
    <row r="167">
      <c r="AK167" s="88"/>
      <c r="AL167" s="91"/>
      <c r="AM167" s="91"/>
      <c r="AN167" s="91"/>
      <c r="AO167" s="91"/>
      <c r="AP167" s="91"/>
    </row>
    <row r="168">
      <c r="AK168" s="88"/>
      <c r="AL168" s="91"/>
      <c r="AM168" s="91"/>
      <c r="AN168" s="91"/>
      <c r="AO168" s="91"/>
      <c r="AP168" s="91"/>
    </row>
    <row r="169">
      <c r="AK169" s="88"/>
      <c r="AL169" s="91"/>
      <c r="AM169" s="91"/>
      <c r="AN169" s="91"/>
      <c r="AO169" s="91"/>
      <c r="AP169" s="91"/>
    </row>
    <row r="170">
      <c r="AK170" s="88"/>
      <c r="AL170" s="91"/>
      <c r="AM170" s="91"/>
      <c r="AN170" s="91"/>
      <c r="AO170" s="91"/>
      <c r="AP170" s="91"/>
    </row>
    <row r="171">
      <c r="AK171" s="88"/>
      <c r="AL171" s="91"/>
      <c r="AM171" s="91"/>
      <c r="AN171" s="91"/>
      <c r="AO171" s="91"/>
      <c r="AP171" s="91"/>
    </row>
    <row r="172">
      <c r="AK172" s="88"/>
      <c r="AL172" s="91"/>
      <c r="AM172" s="91"/>
      <c r="AN172" s="91"/>
      <c r="AO172" s="91"/>
      <c r="AP172" s="91"/>
    </row>
    <row r="173">
      <c r="AK173" s="88"/>
      <c r="AL173" s="91"/>
      <c r="AM173" s="91"/>
      <c r="AN173" s="91"/>
      <c r="AO173" s="91"/>
      <c r="AP173" s="91"/>
    </row>
    <row r="174">
      <c r="AK174" s="88"/>
      <c r="AL174" s="91"/>
      <c r="AM174" s="91"/>
      <c r="AN174" s="91"/>
      <c r="AO174" s="91"/>
      <c r="AP174" s="91"/>
    </row>
    <row r="175">
      <c r="AK175" s="88"/>
      <c r="AL175" s="91"/>
      <c r="AM175" s="91"/>
      <c r="AN175" s="91"/>
      <c r="AO175" s="91"/>
      <c r="AP175" s="91"/>
    </row>
    <row r="176">
      <c r="AK176" s="88"/>
      <c r="AL176" s="91"/>
      <c r="AM176" s="91"/>
      <c r="AN176" s="91"/>
      <c r="AO176" s="91"/>
      <c r="AP176" s="91"/>
    </row>
    <row r="177">
      <c r="AK177" s="88"/>
      <c r="AL177" s="91"/>
      <c r="AM177" s="91"/>
      <c r="AN177" s="91"/>
      <c r="AO177" s="91"/>
      <c r="AP177" s="91"/>
    </row>
    <row r="178">
      <c r="AL178" s="93"/>
      <c r="AM178" s="93"/>
      <c r="AN178" s="93"/>
      <c r="AO178" s="94"/>
      <c r="AP178" s="91"/>
    </row>
    <row r="179">
      <c r="AL179" s="93"/>
      <c r="AM179" s="93"/>
      <c r="AN179" s="93"/>
      <c r="AO179" s="94"/>
      <c r="AP179" s="91"/>
    </row>
    <row r="180">
      <c r="AL180" s="93"/>
      <c r="AM180" s="93"/>
      <c r="AN180" s="93"/>
      <c r="AO180" s="94"/>
      <c r="AP180" s="91"/>
    </row>
    <row r="181">
      <c r="AL181" s="93"/>
      <c r="AM181" s="93"/>
      <c r="AN181" s="93"/>
      <c r="AO181" s="94"/>
      <c r="AP181" s="91"/>
    </row>
    <row r="182">
      <c r="AL182" s="93"/>
      <c r="AM182" s="93"/>
      <c r="AN182" s="93"/>
      <c r="AO182" s="94"/>
      <c r="AP182" s="91"/>
    </row>
    <row r="183">
      <c r="AL183" s="93"/>
      <c r="AM183" s="93"/>
      <c r="AN183" s="93"/>
      <c r="AO183" s="94"/>
      <c r="AP183" s="91"/>
    </row>
    <row r="184">
      <c r="AL184" s="93"/>
      <c r="AM184" s="93"/>
      <c r="AN184" s="93"/>
      <c r="AO184" s="94"/>
      <c r="AP184" s="91"/>
    </row>
    <row r="185">
      <c r="AL185" s="93"/>
      <c r="AM185" s="93"/>
      <c r="AN185" s="93"/>
      <c r="AO185" s="94"/>
      <c r="AP185" s="91"/>
    </row>
    <row r="186">
      <c r="AL186" s="93"/>
      <c r="AM186" s="93"/>
      <c r="AN186" s="93"/>
      <c r="AO186" s="94"/>
      <c r="AP186" s="91"/>
    </row>
    <row r="187">
      <c r="AL187" s="93"/>
      <c r="AM187" s="93"/>
      <c r="AN187" s="93"/>
      <c r="AO187" s="94"/>
      <c r="AP187" s="91"/>
    </row>
    <row r="188">
      <c r="AL188" s="93"/>
      <c r="AM188" s="93"/>
      <c r="AN188" s="93"/>
      <c r="AO188" s="94"/>
      <c r="AP188" s="91"/>
    </row>
    <row r="189">
      <c r="AL189" s="93"/>
      <c r="AM189" s="93"/>
      <c r="AN189" s="93"/>
      <c r="AO189" s="94"/>
      <c r="AP189" s="91"/>
    </row>
    <row r="190">
      <c r="AL190" s="93"/>
      <c r="AM190" s="93"/>
      <c r="AN190" s="93"/>
      <c r="AO190" s="94"/>
      <c r="AP190" s="91"/>
    </row>
    <row r="191">
      <c r="AL191" s="93"/>
      <c r="AM191" s="93"/>
      <c r="AN191" s="93"/>
      <c r="AO191" s="94"/>
      <c r="AP191" s="91"/>
    </row>
    <row r="192">
      <c r="AL192" s="93"/>
      <c r="AM192" s="93"/>
      <c r="AN192" s="93"/>
      <c r="AO192" s="94"/>
      <c r="AP192" s="91"/>
    </row>
    <row r="193">
      <c r="AL193" s="93"/>
      <c r="AM193" s="93"/>
      <c r="AN193" s="93"/>
      <c r="AO193" s="94"/>
      <c r="AP193" s="91"/>
    </row>
    <row r="194">
      <c r="AL194" s="93"/>
      <c r="AM194" s="93"/>
      <c r="AN194" s="93"/>
      <c r="AO194" s="94"/>
      <c r="AP194" s="91"/>
    </row>
    <row r="195">
      <c r="AL195" s="93"/>
      <c r="AM195" s="93"/>
      <c r="AN195" s="93"/>
      <c r="AO195" s="94"/>
      <c r="AP195" s="91"/>
    </row>
    <row r="196">
      <c r="AL196" s="93"/>
      <c r="AM196" s="93"/>
      <c r="AN196" s="93"/>
      <c r="AO196" s="94"/>
      <c r="AP196" s="91"/>
    </row>
    <row r="197">
      <c r="AL197" s="93"/>
      <c r="AM197" s="93"/>
      <c r="AN197" s="93"/>
      <c r="AO197" s="94"/>
      <c r="AP197" s="91"/>
    </row>
    <row r="198">
      <c r="AL198" s="93"/>
      <c r="AM198" s="93"/>
      <c r="AN198" s="93"/>
      <c r="AO198" s="94"/>
      <c r="AP198" s="91"/>
    </row>
    <row r="199">
      <c r="AL199" s="93"/>
      <c r="AM199" s="93"/>
      <c r="AN199" s="93"/>
      <c r="AO199" s="94"/>
      <c r="AP199" s="91"/>
    </row>
    <row r="200">
      <c r="AL200" s="93"/>
      <c r="AM200" s="93"/>
      <c r="AN200" s="93"/>
      <c r="AO200" s="94"/>
      <c r="AP200" s="91"/>
    </row>
    <row r="201">
      <c r="AL201" s="93"/>
      <c r="AM201" s="93"/>
      <c r="AN201" s="93"/>
      <c r="AO201" s="94"/>
      <c r="AP201" s="91"/>
    </row>
    <row r="202">
      <c r="AL202" s="93"/>
      <c r="AM202" s="93"/>
      <c r="AN202" s="93"/>
      <c r="AO202" s="94"/>
      <c r="AP202" s="91"/>
    </row>
    <row r="203">
      <c r="AL203" s="93"/>
      <c r="AM203" s="93"/>
      <c r="AN203" s="93"/>
      <c r="AO203" s="94"/>
      <c r="AP203" s="91"/>
    </row>
    <row r="204">
      <c r="AL204" s="93"/>
      <c r="AM204" s="93"/>
      <c r="AN204" s="93"/>
      <c r="AO204" s="94"/>
      <c r="AP204" s="91"/>
    </row>
    <row r="205">
      <c r="AL205" s="93"/>
      <c r="AM205" s="93"/>
      <c r="AN205" s="93"/>
      <c r="AO205" s="94"/>
      <c r="AP205" s="91"/>
    </row>
    <row r="206">
      <c r="AL206" s="93"/>
      <c r="AM206" s="93"/>
      <c r="AN206" s="93"/>
      <c r="AO206" s="94"/>
      <c r="AP206" s="91"/>
    </row>
    <row r="207">
      <c r="AL207" s="93"/>
      <c r="AM207" s="93"/>
      <c r="AN207" s="93"/>
      <c r="AO207" s="94"/>
      <c r="AP207" s="91"/>
    </row>
    <row r="208">
      <c r="AL208" s="93"/>
      <c r="AM208" s="93"/>
      <c r="AN208" s="93"/>
      <c r="AO208" s="94"/>
      <c r="AP208" s="91"/>
    </row>
    <row r="209">
      <c r="AL209" s="93"/>
      <c r="AM209" s="93"/>
      <c r="AN209" s="93"/>
      <c r="AO209" s="94"/>
      <c r="AP209" s="91"/>
    </row>
    <row r="210">
      <c r="AL210" s="93"/>
      <c r="AM210" s="93"/>
      <c r="AN210" s="93"/>
      <c r="AO210" s="94"/>
      <c r="AP210" s="91"/>
    </row>
    <row r="211">
      <c r="AL211" s="93"/>
      <c r="AM211" s="93"/>
      <c r="AN211" s="93"/>
      <c r="AO211" s="94"/>
      <c r="AP211" s="91"/>
    </row>
    <row r="212">
      <c r="AL212" s="93"/>
      <c r="AM212" s="93"/>
      <c r="AN212" s="93"/>
      <c r="AO212" s="94"/>
      <c r="AP212" s="91"/>
    </row>
    <row r="213">
      <c r="AL213" s="93"/>
      <c r="AM213" s="93"/>
      <c r="AN213" s="93"/>
      <c r="AO213" s="94"/>
      <c r="AP213" s="91"/>
    </row>
    <row r="214">
      <c r="AL214" s="93"/>
      <c r="AM214" s="93"/>
      <c r="AN214" s="93"/>
      <c r="AO214" s="94"/>
      <c r="AP214" s="91"/>
    </row>
    <row r="215">
      <c r="AL215" s="93"/>
      <c r="AM215" s="93"/>
      <c r="AN215" s="93"/>
      <c r="AO215" s="94"/>
      <c r="AP215" s="91"/>
    </row>
    <row r="216">
      <c r="AL216" s="93"/>
      <c r="AM216" s="93"/>
      <c r="AN216" s="93"/>
      <c r="AO216" s="94"/>
      <c r="AP216" s="91"/>
    </row>
    <row r="217">
      <c r="AL217" s="93"/>
      <c r="AM217" s="93"/>
      <c r="AN217" s="93"/>
      <c r="AO217" s="94"/>
      <c r="AP217" s="91"/>
    </row>
    <row r="218">
      <c r="AL218" s="93"/>
      <c r="AM218" s="93"/>
      <c r="AN218" s="93"/>
      <c r="AO218" s="94"/>
      <c r="AP218" s="91"/>
    </row>
    <row r="219">
      <c r="AL219" s="93"/>
      <c r="AM219" s="93"/>
      <c r="AN219" s="93"/>
      <c r="AO219" s="94"/>
      <c r="AP219" s="91"/>
    </row>
    <row r="220">
      <c r="AL220" s="93"/>
      <c r="AM220" s="93"/>
      <c r="AN220" s="93"/>
      <c r="AO220" s="94"/>
      <c r="AP220" s="91"/>
    </row>
    <row r="221">
      <c r="AL221" s="93"/>
      <c r="AM221" s="93"/>
      <c r="AN221" s="93"/>
      <c r="AO221" s="94"/>
      <c r="AP221" s="91"/>
    </row>
    <row r="222">
      <c r="AL222" s="93"/>
      <c r="AM222" s="93"/>
      <c r="AN222" s="93"/>
      <c r="AO222" s="94"/>
      <c r="AP222" s="91"/>
    </row>
    <row r="223">
      <c r="AL223" s="93"/>
      <c r="AM223" s="93"/>
      <c r="AN223" s="93"/>
      <c r="AO223" s="94"/>
      <c r="AP223" s="91"/>
    </row>
    <row r="224">
      <c r="AL224" s="93"/>
      <c r="AM224" s="93"/>
      <c r="AN224" s="93"/>
      <c r="AO224" s="94"/>
      <c r="AP224" s="91"/>
    </row>
    <row r="225">
      <c r="AL225" s="93"/>
      <c r="AM225" s="93"/>
      <c r="AN225" s="93"/>
      <c r="AO225" s="94"/>
      <c r="AP225" s="91"/>
    </row>
    <row r="226">
      <c r="AL226" s="93"/>
      <c r="AM226" s="93"/>
      <c r="AN226" s="93"/>
      <c r="AO226" s="94"/>
      <c r="AP226" s="91"/>
    </row>
    <row r="227">
      <c r="AL227" s="93"/>
      <c r="AM227" s="93"/>
      <c r="AN227" s="93"/>
      <c r="AO227" s="94"/>
      <c r="AP227" s="91"/>
    </row>
    <row r="228">
      <c r="AL228" s="93"/>
      <c r="AM228" s="93"/>
      <c r="AN228" s="93"/>
      <c r="AO228" s="94"/>
      <c r="AP228" s="91"/>
    </row>
    <row r="229">
      <c r="AL229" s="93"/>
      <c r="AM229" s="93"/>
      <c r="AN229" s="93"/>
      <c r="AO229" s="94"/>
      <c r="AP229" s="91"/>
    </row>
    <row r="230">
      <c r="AL230" s="93"/>
      <c r="AM230" s="93"/>
      <c r="AN230" s="93"/>
      <c r="AO230" s="94"/>
      <c r="AP230" s="91"/>
    </row>
    <row r="231">
      <c r="AL231" s="93"/>
      <c r="AM231" s="93"/>
      <c r="AN231" s="93"/>
      <c r="AO231" s="94"/>
      <c r="AP231" s="91"/>
    </row>
    <row r="232">
      <c r="AL232" s="93"/>
      <c r="AM232" s="93"/>
      <c r="AN232" s="93"/>
      <c r="AO232" s="94"/>
      <c r="AP232" s="91"/>
    </row>
    <row r="233">
      <c r="AL233" s="93"/>
      <c r="AM233" s="93"/>
      <c r="AN233" s="93"/>
      <c r="AO233" s="94"/>
      <c r="AP233" s="91"/>
    </row>
    <row r="234">
      <c r="AL234" s="93"/>
      <c r="AM234" s="93"/>
      <c r="AN234" s="93"/>
      <c r="AO234" s="94"/>
      <c r="AP234" s="91"/>
    </row>
    <row r="235">
      <c r="AL235" s="93"/>
      <c r="AM235" s="93"/>
      <c r="AN235" s="93"/>
      <c r="AO235" s="94"/>
      <c r="AP235" s="91"/>
    </row>
    <row r="236">
      <c r="AL236" s="93"/>
      <c r="AM236" s="93"/>
      <c r="AN236" s="93"/>
      <c r="AO236" s="94"/>
      <c r="AP236" s="91"/>
    </row>
    <row r="237">
      <c r="AL237" s="93"/>
      <c r="AM237" s="93"/>
      <c r="AN237" s="93"/>
      <c r="AO237" s="94"/>
      <c r="AP237" s="91"/>
    </row>
    <row r="238">
      <c r="AL238" s="93"/>
      <c r="AM238" s="93"/>
      <c r="AN238" s="93"/>
      <c r="AO238" s="94"/>
      <c r="AP238" s="91"/>
    </row>
    <row r="239">
      <c r="AL239" s="93"/>
      <c r="AM239" s="93"/>
      <c r="AN239" s="93"/>
      <c r="AO239" s="94"/>
      <c r="AP239" s="91"/>
    </row>
    <row r="240">
      <c r="AL240" s="93"/>
      <c r="AM240" s="93"/>
      <c r="AN240" s="93"/>
      <c r="AO240" s="94"/>
      <c r="AP240" s="91"/>
    </row>
    <row r="241">
      <c r="AL241" s="93"/>
      <c r="AM241" s="93"/>
      <c r="AN241" s="93"/>
      <c r="AO241" s="94"/>
      <c r="AP241" s="91"/>
    </row>
    <row r="242">
      <c r="AL242" s="93"/>
      <c r="AM242" s="93"/>
      <c r="AN242" s="93"/>
      <c r="AO242" s="94"/>
      <c r="AP242" s="91"/>
    </row>
    <row r="243">
      <c r="AL243" s="93"/>
      <c r="AM243" s="93"/>
      <c r="AN243" s="93"/>
      <c r="AO243" s="94"/>
      <c r="AP243" s="91"/>
    </row>
    <row r="244">
      <c r="AL244" s="93"/>
      <c r="AM244" s="93"/>
      <c r="AN244" s="93"/>
      <c r="AO244" s="94"/>
      <c r="AP244" s="91"/>
    </row>
    <row r="245">
      <c r="AL245" s="93"/>
      <c r="AM245" s="93"/>
      <c r="AN245" s="93"/>
      <c r="AO245" s="94"/>
      <c r="AP245" s="91"/>
    </row>
    <row r="246">
      <c r="AL246" s="93"/>
      <c r="AM246" s="93"/>
      <c r="AN246" s="93"/>
      <c r="AO246" s="94"/>
      <c r="AP246" s="91"/>
    </row>
    <row r="247">
      <c r="AL247" s="93"/>
      <c r="AM247" s="93"/>
      <c r="AN247" s="93"/>
      <c r="AO247" s="94"/>
      <c r="AP247" s="91"/>
    </row>
    <row r="248">
      <c r="AL248" s="93"/>
      <c r="AM248" s="93"/>
      <c r="AN248" s="93"/>
      <c r="AO248" s="94"/>
      <c r="AP248" s="91"/>
    </row>
    <row r="249">
      <c r="AL249" s="93"/>
      <c r="AM249" s="93"/>
      <c r="AN249" s="93"/>
      <c r="AO249" s="94"/>
      <c r="AP249" s="91"/>
    </row>
    <row r="250">
      <c r="AL250" s="93"/>
      <c r="AM250" s="93"/>
      <c r="AN250" s="93"/>
      <c r="AO250" s="94"/>
      <c r="AP250" s="91"/>
    </row>
    <row r="251">
      <c r="AL251" s="93"/>
      <c r="AM251" s="93"/>
      <c r="AN251" s="93"/>
      <c r="AO251" s="94"/>
      <c r="AP251" s="91"/>
    </row>
    <row r="252">
      <c r="AL252" s="93"/>
      <c r="AM252" s="93"/>
      <c r="AN252" s="93"/>
      <c r="AO252" s="94"/>
      <c r="AP252" s="91"/>
    </row>
    <row r="253">
      <c r="AL253" s="93"/>
      <c r="AM253" s="93"/>
      <c r="AN253" s="93"/>
      <c r="AO253" s="94"/>
      <c r="AP253" s="91"/>
    </row>
    <row r="254">
      <c r="AL254" s="93"/>
      <c r="AM254" s="93"/>
      <c r="AN254" s="93"/>
      <c r="AO254" s="94"/>
      <c r="AP254" s="91"/>
    </row>
    <row r="255">
      <c r="AL255" s="93"/>
      <c r="AM255" s="93"/>
      <c r="AN255" s="93"/>
      <c r="AO255" s="94"/>
      <c r="AP255" s="91"/>
    </row>
    <row r="256">
      <c r="AL256" s="93"/>
      <c r="AM256" s="93"/>
      <c r="AN256" s="93"/>
      <c r="AO256" s="94"/>
      <c r="AP256" s="91"/>
    </row>
    <row r="257">
      <c r="AL257" s="93"/>
      <c r="AM257" s="93"/>
      <c r="AN257" s="93"/>
      <c r="AO257" s="94"/>
      <c r="AP257" s="91"/>
    </row>
    <row r="258">
      <c r="AL258" s="93"/>
      <c r="AM258" s="93"/>
      <c r="AN258" s="93"/>
      <c r="AO258" s="94"/>
      <c r="AP258" s="91"/>
    </row>
    <row r="259">
      <c r="AL259" s="93"/>
      <c r="AM259" s="93"/>
      <c r="AN259" s="93"/>
      <c r="AO259" s="94"/>
      <c r="AP259" s="91"/>
    </row>
    <row r="260">
      <c r="AL260" s="93"/>
      <c r="AM260" s="93"/>
      <c r="AN260" s="93"/>
      <c r="AO260" s="94"/>
      <c r="AP260" s="91"/>
    </row>
    <row r="261">
      <c r="AL261" s="93"/>
      <c r="AM261" s="93"/>
      <c r="AN261" s="93"/>
      <c r="AO261" s="94"/>
      <c r="AP261" s="91"/>
    </row>
    <row r="262">
      <c r="AL262" s="93"/>
      <c r="AM262" s="93"/>
      <c r="AN262" s="93"/>
      <c r="AO262" s="94"/>
      <c r="AP262" s="91"/>
    </row>
    <row r="263">
      <c r="AL263" s="93"/>
      <c r="AM263" s="93"/>
      <c r="AN263" s="93"/>
      <c r="AO263" s="94"/>
      <c r="AP263" s="91"/>
    </row>
    <row r="264">
      <c r="AL264" s="93"/>
      <c r="AM264" s="93"/>
      <c r="AN264" s="93"/>
      <c r="AO264" s="94"/>
      <c r="AP264" s="91"/>
    </row>
    <row r="265">
      <c r="AL265" s="93"/>
      <c r="AM265" s="93"/>
      <c r="AN265" s="93"/>
      <c r="AO265" s="94"/>
      <c r="AP265" s="91"/>
    </row>
    <row r="266">
      <c r="AL266" s="93"/>
      <c r="AM266" s="93"/>
      <c r="AN266" s="93"/>
      <c r="AO266" s="94"/>
      <c r="AP266" s="91"/>
    </row>
    <row r="267">
      <c r="AL267" s="93"/>
      <c r="AM267" s="93"/>
      <c r="AN267" s="93"/>
      <c r="AO267" s="94"/>
      <c r="AP267" s="91"/>
    </row>
    <row r="268">
      <c r="AL268" s="93"/>
      <c r="AM268" s="93"/>
      <c r="AN268" s="93"/>
      <c r="AO268" s="94"/>
      <c r="AP268" s="91"/>
    </row>
    <row r="269">
      <c r="AL269" s="93"/>
      <c r="AM269" s="93"/>
      <c r="AN269" s="93"/>
      <c r="AO269" s="94"/>
      <c r="AP269" s="91"/>
    </row>
    <row r="270">
      <c r="AL270" s="93"/>
      <c r="AM270" s="93"/>
      <c r="AN270" s="93"/>
      <c r="AO270" s="94"/>
      <c r="AP270" s="91"/>
    </row>
    <row r="271">
      <c r="AL271" s="93"/>
      <c r="AM271" s="93"/>
      <c r="AN271" s="93"/>
      <c r="AO271" s="94"/>
      <c r="AP271" s="91"/>
    </row>
    <row r="272">
      <c r="AL272" s="93"/>
      <c r="AM272" s="93"/>
      <c r="AN272" s="93"/>
      <c r="AO272" s="94"/>
      <c r="AP272" s="91"/>
    </row>
    <row r="273">
      <c r="AL273" s="93"/>
      <c r="AM273" s="93"/>
      <c r="AN273" s="93"/>
      <c r="AO273" s="94"/>
      <c r="AP273" s="91"/>
    </row>
    <row r="274">
      <c r="AL274" s="93"/>
      <c r="AM274" s="93"/>
      <c r="AN274" s="93"/>
      <c r="AO274" s="94"/>
      <c r="AP274" s="91"/>
    </row>
    <row r="275">
      <c r="AL275" s="93"/>
      <c r="AM275" s="93"/>
      <c r="AN275" s="93"/>
      <c r="AO275" s="94"/>
      <c r="AP275" s="91"/>
    </row>
    <row r="276">
      <c r="AL276" s="93"/>
      <c r="AM276" s="93"/>
      <c r="AN276" s="93"/>
      <c r="AO276" s="94"/>
      <c r="AP276" s="91"/>
    </row>
    <row r="277">
      <c r="AL277" s="93"/>
      <c r="AM277" s="93"/>
      <c r="AN277" s="93"/>
      <c r="AO277" s="94"/>
      <c r="AP277" s="91"/>
    </row>
    <row r="278">
      <c r="AL278" s="93"/>
      <c r="AM278" s="93"/>
      <c r="AN278" s="93"/>
      <c r="AO278" s="94"/>
      <c r="AP278" s="91"/>
    </row>
    <row r="279">
      <c r="AL279" s="93"/>
      <c r="AM279" s="93"/>
      <c r="AN279" s="93"/>
      <c r="AO279" s="94"/>
      <c r="AP279" s="91"/>
    </row>
    <row r="280">
      <c r="AL280" s="93"/>
      <c r="AM280" s="93"/>
      <c r="AN280" s="93"/>
      <c r="AO280" s="94"/>
      <c r="AP280" s="91"/>
    </row>
    <row r="281">
      <c r="AL281" s="93"/>
      <c r="AM281" s="93"/>
      <c r="AN281" s="93"/>
      <c r="AO281" s="94"/>
      <c r="AP281" s="91"/>
    </row>
    <row r="282">
      <c r="AL282" s="93"/>
      <c r="AM282" s="93"/>
      <c r="AN282" s="93"/>
      <c r="AO282" s="94"/>
      <c r="AP282" s="91"/>
    </row>
    <row r="283">
      <c r="AL283" s="93"/>
      <c r="AM283" s="93"/>
      <c r="AN283" s="93"/>
      <c r="AO283" s="94"/>
      <c r="AP283" s="91"/>
    </row>
    <row r="284">
      <c r="AL284" s="93"/>
      <c r="AM284" s="93"/>
      <c r="AN284" s="93"/>
      <c r="AO284" s="94"/>
      <c r="AP284" s="91"/>
    </row>
    <row r="285">
      <c r="AL285" s="93"/>
      <c r="AM285" s="93"/>
      <c r="AN285" s="93"/>
      <c r="AO285" s="94"/>
      <c r="AP285" s="91"/>
    </row>
    <row r="286">
      <c r="AL286" s="93"/>
      <c r="AM286" s="93"/>
      <c r="AN286" s="93"/>
      <c r="AO286" s="94"/>
      <c r="AP286" s="91"/>
    </row>
    <row r="287">
      <c r="AL287" s="93"/>
      <c r="AM287" s="93"/>
      <c r="AN287" s="93"/>
      <c r="AO287" s="94"/>
      <c r="AP287" s="91"/>
    </row>
    <row r="288">
      <c r="AL288" s="93"/>
      <c r="AM288" s="93"/>
      <c r="AN288" s="93"/>
      <c r="AO288" s="94"/>
      <c r="AP288" s="91"/>
    </row>
    <row r="289">
      <c r="AL289" s="93"/>
      <c r="AM289" s="93"/>
      <c r="AN289" s="93"/>
      <c r="AO289" s="94"/>
      <c r="AP289" s="91"/>
    </row>
    <row r="290">
      <c r="AL290" s="93"/>
      <c r="AM290" s="93"/>
      <c r="AN290" s="93"/>
      <c r="AO290" s="94"/>
      <c r="AP290" s="91"/>
    </row>
    <row r="291">
      <c r="AL291" s="93"/>
      <c r="AM291" s="93"/>
      <c r="AN291" s="93"/>
      <c r="AO291" s="94"/>
      <c r="AP291" s="91"/>
    </row>
    <row r="292">
      <c r="AL292" s="93"/>
      <c r="AM292" s="93"/>
      <c r="AN292" s="93"/>
      <c r="AO292" s="94"/>
      <c r="AP292" s="91"/>
    </row>
    <row r="293">
      <c r="AL293" s="93"/>
      <c r="AM293" s="93"/>
      <c r="AN293" s="93"/>
      <c r="AO293" s="94"/>
      <c r="AP293" s="91"/>
    </row>
    <row r="294">
      <c r="AL294" s="93"/>
      <c r="AM294" s="93"/>
      <c r="AN294" s="93"/>
      <c r="AO294" s="94"/>
      <c r="AP294" s="91"/>
    </row>
    <row r="295">
      <c r="AL295" s="93"/>
      <c r="AM295" s="93"/>
      <c r="AN295" s="93"/>
      <c r="AO295" s="94"/>
      <c r="AP295" s="91"/>
    </row>
    <row r="296">
      <c r="AL296" s="93"/>
      <c r="AM296" s="93"/>
      <c r="AN296" s="93"/>
      <c r="AO296" s="94"/>
      <c r="AP296" s="91"/>
    </row>
    <row r="297">
      <c r="AL297" s="93"/>
      <c r="AM297" s="93"/>
      <c r="AN297" s="93"/>
      <c r="AO297" s="94"/>
      <c r="AP297" s="91"/>
    </row>
    <row r="298">
      <c r="AL298" s="93"/>
      <c r="AM298" s="93"/>
      <c r="AN298" s="93"/>
      <c r="AO298" s="94"/>
      <c r="AP298" s="91"/>
    </row>
    <row r="299">
      <c r="AL299" s="93"/>
      <c r="AM299" s="93"/>
      <c r="AN299" s="93"/>
      <c r="AO299" s="94"/>
      <c r="AP299" s="91"/>
    </row>
    <row r="300">
      <c r="AL300" s="93"/>
      <c r="AM300" s="93"/>
      <c r="AN300" s="93"/>
      <c r="AO300" s="94"/>
      <c r="AP300" s="91"/>
    </row>
    <row r="301">
      <c r="AL301" s="93"/>
      <c r="AM301" s="93"/>
      <c r="AN301" s="93"/>
      <c r="AO301" s="94"/>
      <c r="AP301" s="91"/>
    </row>
    <row r="302">
      <c r="AL302" s="93"/>
      <c r="AM302" s="93"/>
      <c r="AN302" s="93"/>
      <c r="AO302" s="94"/>
      <c r="AP302" s="91"/>
    </row>
    <row r="303">
      <c r="AL303" s="93"/>
      <c r="AM303" s="93"/>
      <c r="AN303" s="93"/>
      <c r="AO303" s="94"/>
      <c r="AP303" s="91"/>
    </row>
    <row r="304">
      <c r="AL304" s="93"/>
      <c r="AM304" s="93"/>
      <c r="AN304" s="93"/>
      <c r="AO304" s="94"/>
      <c r="AP304" s="91"/>
    </row>
    <row r="305">
      <c r="AL305" s="93"/>
      <c r="AM305" s="93"/>
      <c r="AN305" s="93"/>
      <c r="AO305" s="94"/>
      <c r="AP305" s="91"/>
    </row>
    <row r="306">
      <c r="AL306" s="93"/>
      <c r="AM306" s="93"/>
      <c r="AN306" s="93"/>
      <c r="AO306" s="94"/>
      <c r="AP306" s="91"/>
    </row>
    <row r="307">
      <c r="AL307" s="93"/>
      <c r="AM307" s="93"/>
      <c r="AN307" s="93"/>
      <c r="AO307" s="94"/>
      <c r="AP307" s="91"/>
    </row>
    <row r="308">
      <c r="AL308" s="93"/>
      <c r="AM308" s="93"/>
      <c r="AN308" s="93"/>
      <c r="AO308" s="94"/>
      <c r="AP308" s="91"/>
    </row>
    <row r="309">
      <c r="AL309" s="93"/>
      <c r="AM309" s="93"/>
      <c r="AN309" s="93"/>
      <c r="AO309" s="94"/>
      <c r="AP309" s="91"/>
    </row>
    <row r="310">
      <c r="AL310" s="93"/>
      <c r="AM310" s="93"/>
      <c r="AN310" s="93"/>
      <c r="AO310" s="94"/>
      <c r="AP310" s="91"/>
    </row>
    <row r="311">
      <c r="AL311" s="93"/>
      <c r="AM311" s="93"/>
      <c r="AN311" s="93"/>
      <c r="AO311" s="94"/>
      <c r="AP311" s="91"/>
    </row>
    <row r="312">
      <c r="AL312" s="93"/>
      <c r="AM312" s="93"/>
      <c r="AN312" s="93"/>
      <c r="AO312" s="94"/>
      <c r="AP312" s="91"/>
    </row>
    <row r="313">
      <c r="AL313" s="93"/>
      <c r="AM313" s="93"/>
      <c r="AN313" s="93"/>
      <c r="AO313" s="94"/>
      <c r="AP313" s="91"/>
    </row>
    <row r="314">
      <c r="AL314" s="93"/>
      <c r="AM314" s="93"/>
      <c r="AN314" s="93"/>
      <c r="AO314" s="94"/>
      <c r="AP314" s="91"/>
    </row>
    <row r="315">
      <c r="AL315" s="93"/>
      <c r="AM315" s="93"/>
      <c r="AN315" s="93"/>
      <c r="AO315" s="94"/>
      <c r="AP315" s="91"/>
    </row>
    <row r="316">
      <c r="AL316" s="93"/>
      <c r="AM316" s="93"/>
      <c r="AN316" s="93"/>
      <c r="AO316" s="94"/>
      <c r="AP316" s="91"/>
    </row>
    <row r="317">
      <c r="AL317" s="93"/>
      <c r="AM317" s="93"/>
      <c r="AN317" s="93"/>
      <c r="AO317" s="94"/>
      <c r="AP317" s="91"/>
    </row>
    <row r="318">
      <c r="AL318" s="93"/>
      <c r="AM318" s="93"/>
      <c r="AN318" s="93"/>
      <c r="AO318" s="94"/>
      <c r="AP318" s="91"/>
    </row>
    <row r="319">
      <c r="AL319" s="93"/>
      <c r="AM319" s="93"/>
      <c r="AN319" s="93"/>
      <c r="AO319" s="94"/>
      <c r="AP319" s="91"/>
    </row>
    <row r="320">
      <c r="AL320" s="93"/>
      <c r="AM320" s="93"/>
      <c r="AN320" s="93"/>
      <c r="AO320" s="94"/>
      <c r="AP320" s="91"/>
    </row>
    <row r="321">
      <c r="AL321" s="93"/>
      <c r="AM321" s="93"/>
      <c r="AN321" s="93"/>
      <c r="AO321" s="94"/>
      <c r="AP321" s="91"/>
    </row>
    <row r="322">
      <c r="AL322" s="93"/>
      <c r="AM322" s="93"/>
      <c r="AN322" s="93"/>
      <c r="AO322" s="94"/>
      <c r="AP322" s="91"/>
    </row>
    <row r="323">
      <c r="AL323" s="93"/>
      <c r="AM323" s="93"/>
      <c r="AN323" s="93"/>
      <c r="AO323" s="94"/>
      <c r="AP323" s="91"/>
    </row>
    <row r="324">
      <c r="AL324" s="93"/>
      <c r="AM324" s="93"/>
      <c r="AN324" s="93"/>
      <c r="AO324" s="94"/>
      <c r="AP324" s="91"/>
    </row>
    <row r="325">
      <c r="AL325" s="93"/>
      <c r="AM325" s="93"/>
      <c r="AN325" s="93"/>
      <c r="AO325" s="94"/>
      <c r="AP325" s="91"/>
    </row>
    <row r="326">
      <c r="AL326" s="93"/>
      <c r="AM326" s="93"/>
      <c r="AN326" s="93"/>
      <c r="AO326" s="94"/>
      <c r="AP326" s="91"/>
    </row>
    <row r="327">
      <c r="AL327" s="93"/>
      <c r="AM327" s="93"/>
      <c r="AN327" s="93"/>
      <c r="AO327" s="94"/>
      <c r="AP327" s="91"/>
    </row>
    <row r="328">
      <c r="AL328" s="93"/>
      <c r="AM328" s="93"/>
      <c r="AN328" s="93"/>
      <c r="AO328" s="94"/>
      <c r="AP328" s="91"/>
    </row>
    <row r="329">
      <c r="AL329" s="93"/>
      <c r="AM329" s="93"/>
      <c r="AN329" s="93"/>
      <c r="AO329" s="94"/>
      <c r="AP329" s="91"/>
    </row>
    <row r="330">
      <c r="AL330" s="93"/>
      <c r="AM330" s="93"/>
      <c r="AN330" s="93"/>
      <c r="AO330" s="94"/>
      <c r="AP330" s="91"/>
    </row>
    <row r="331">
      <c r="AL331" s="93"/>
      <c r="AM331" s="93"/>
      <c r="AN331" s="93"/>
      <c r="AO331" s="94"/>
      <c r="AP331" s="91"/>
    </row>
    <row r="332">
      <c r="AL332" s="93"/>
      <c r="AM332" s="93"/>
      <c r="AN332" s="93"/>
      <c r="AO332" s="94"/>
      <c r="AP332" s="91"/>
    </row>
    <row r="333">
      <c r="AL333" s="93"/>
      <c r="AM333" s="93"/>
      <c r="AN333" s="93"/>
      <c r="AO333" s="94"/>
      <c r="AP333" s="91"/>
    </row>
    <row r="334">
      <c r="AL334" s="93"/>
      <c r="AM334" s="93"/>
      <c r="AN334" s="93"/>
      <c r="AO334" s="94"/>
      <c r="AP334" s="91"/>
    </row>
    <row r="335">
      <c r="AL335" s="93"/>
      <c r="AM335" s="93"/>
      <c r="AN335" s="93"/>
      <c r="AO335" s="94"/>
      <c r="AP335" s="91"/>
    </row>
    <row r="336">
      <c r="AL336" s="93"/>
      <c r="AM336" s="93"/>
      <c r="AN336" s="93"/>
      <c r="AO336" s="94"/>
      <c r="AP336" s="91"/>
    </row>
    <row r="337">
      <c r="AL337" s="93"/>
      <c r="AM337" s="93"/>
      <c r="AN337" s="93"/>
      <c r="AO337" s="94"/>
      <c r="AP337" s="91"/>
    </row>
    <row r="338">
      <c r="AL338" s="93"/>
      <c r="AM338" s="93"/>
      <c r="AN338" s="93"/>
      <c r="AO338" s="94"/>
      <c r="AP338" s="91"/>
    </row>
    <row r="339">
      <c r="AL339" s="93"/>
      <c r="AM339" s="93"/>
      <c r="AN339" s="93"/>
      <c r="AO339" s="94"/>
      <c r="AP339" s="91"/>
    </row>
    <row r="340">
      <c r="AL340" s="93"/>
      <c r="AM340" s="93"/>
      <c r="AN340" s="93"/>
      <c r="AO340" s="94"/>
      <c r="AP340" s="91"/>
    </row>
    <row r="341">
      <c r="AL341" s="93"/>
      <c r="AM341" s="93"/>
      <c r="AN341" s="93"/>
      <c r="AO341" s="94"/>
      <c r="AP341" s="91"/>
    </row>
    <row r="342">
      <c r="AL342" s="93"/>
      <c r="AM342" s="93"/>
      <c r="AN342" s="93"/>
      <c r="AO342" s="94"/>
      <c r="AP342" s="91"/>
    </row>
    <row r="343">
      <c r="AL343" s="93"/>
      <c r="AM343" s="93"/>
      <c r="AN343" s="93"/>
      <c r="AO343" s="94"/>
      <c r="AP343" s="91"/>
    </row>
    <row r="344">
      <c r="AL344" s="93"/>
      <c r="AM344" s="93"/>
      <c r="AN344" s="93"/>
      <c r="AO344" s="94"/>
      <c r="AP344" s="91"/>
    </row>
    <row r="345">
      <c r="AL345" s="93"/>
      <c r="AM345" s="93"/>
      <c r="AN345" s="93"/>
      <c r="AO345" s="94"/>
      <c r="AP345" s="91"/>
    </row>
    <row r="346">
      <c r="AL346" s="93"/>
      <c r="AM346" s="93"/>
      <c r="AN346" s="93"/>
      <c r="AO346" s="94"/>
      <c r="AP346" s="91"/>
    </row>
    <row r="347">
      <c r="AL347" s="93"/>
      <c r="AM347" s="93"/>
      <c r="AN347" s="93"/>
      <c r="AO347" s="94"/>
      <c r="AP347" s="91"/>
    </row>
    <row r="348">
      <c r="AL348" s="93"/>
      <c r="AM348" s="93"/>
      <c r="AN348" s="93"/>
      <c r="AO348" s="94"/>
      <c r="AP348" s="91"/>
    </row>
    <row r="349">
      <c r="AL349" s="93"/>
      <c r="AM349" s="93"/>
      <c r="AN349" s="93"/>
      <c r="AO349" s="94"/>
      <c r="AP349" s="91"/>
    </row>
    <row r="350">
      <c r="AL350" s="93"/>
      <c r="AM350" s="93"/>
      <c r="AN350" s="93"/>
      <c r="AO350" s="94"/>
      <c r="AP350" s="91"/>
    </row>
    <row r="351">
      <c r="AL351" s="93"/>
      <c r="AM351" s="93"/>
      <c r="AN351" s="93"/>
      <c r="AO351" s="94"/>
      <c r="AP351" s="91"/>
    </row>
    <row r="352">
      <c r="AL352" s="93"/>
      <c r="AM352" s="93"/>
      <c r="AN352" s="93"/>
      <c r="AO352" s="94"/>
      <c r="AP352" s="91"/>
    </row>
    <row r="353">
      <c r="AL353" s="93"/>
      <c r="AM353" s="93"/>
      <c r="AN353" s="93"/>
      <c r="AO353" s="94"/>
      <c r="AP353" s="91"/>
    </row>
    <row r="354">
      <c r="AL354" s="93"/>
      <c r="AM354" s="93"/>
      <c r="AN354" s="93"/>
      <c r="AO354" s="94"/>
      <c r="AP354" s="91"/>
    </row>
    <row r="355">
      <c r="AL355" s="93"/>
      <c r="AM355" s="93"/>
      <c r="AN355" s="93"/>
      <c r="AO355" s="94"/>
      <c r="AP355" s="91"/>
    </row>
    <row r="356">
      <c r="AL356" s="93"/>
      <c r="AM356" s="93"/>
      <c r="AN356" s="93"/>
      <c r="AO356" s="94"/>
      <c r="AP356" s="91"/>
    </row>
    <row r="357">
      <c r="AL357" s="93"/>
      <c r="AM357" s="93"/>
      <c r="AN357" s="93"/>
      <c r="AO357" s="94"/>
      <c r="AP357" s="91"/>
    </row>
    <row r="358">
      <c r="AL358" s="93"/>
      <c r="AM358" s="93"/>
      <c r="AN358" s="93"/>
      <c r="AO358" s="94"/>
      <c r="AP358" s="91"/>
    </row>
    <row r="359">
      <c r="AL359" s="93"/>
      <c r="AM359" s="93"/>
      <c r="AN359" s="93"/>
      <c r="AO359" s="94"/>
      <c r="AP359" s="91"/>
    </row>
    <row r="360">
      <c r="AL360" s="93"/>
      <c r="AM360" s="93"/>
      <c r="AN360" s="93"/>
      <c r="AO360" s="94"/>
      <c r="AP360" s="91"/>
    </row>
    <row r="361">
      <c r="AL361" s="93"/>
      <c r="AM361" s="93"/>
      <c r="AN361" s="93"/>
      <c r="AO361" s="94"/>
      <c r="AP361" s="91"/>
    </row>
    <row r="362">
      <c r="AL362" s="93"/>
      <c r="AM362" s="93"/>
      <c r="AN362" s="93"/>
      <c r="AO362" s="94"/>
      <c r="AP362" s="91"/>
    </row>
    <row r="363">
      <c r="AL363" s="93"/>
      <c r="AM363" s="93"/>
      <c r="AN363" s="93"/>
      <c r="AO363" s="94"/>
      <c r="AP363" s="91"/>
    </row>
    <row r="364">
      <c r="AL364" s="93"/>
      <c r="AM364" s="93"/>
      <c r="AN364" s="93"/>
      <c r="AO364" s="94"/>
      <c r="AP364" s="91"/>
    </row>
    <row r="365">
      <c r="AL365" s="93"/>
      <c r="AM365" s="93"/>
      <c r="AN365" s="93"/>
      <c r="AO365" s="94"/>
      <c r="AP365" s="91"/>
    </row>
    <row r="366">
      <c r="AL366" s="93"/>
      <c r="AM366" s="93"/>
      <c r="AN366" s="93"/>
      <c r="AO366" s="94"/>
      <c r="AP366" s="91"/>
    </row>
    <row r="367">
      <c r="AL367" s="93"/>
      <c r="AM367" s="93"/>
      <c r="AN367" s="93"/>
      <c r="AO367" s="94"/>
      <c r="AP367" s="91"/>
    </row>
    <row r="368">
      <c r="AL368" s="93"/>
      <c r="AM368" s="93"/>
      <c r="AN368" s="93"/>
      <c r="AO368" s="94"/>
      <c r="AP368" s="91"/>
    </row>
    <row r="369">
      <c r="AL369" s="93"/>
      <c r="AM369" s="93"/>
      <c r="AN369" s="93"/>
      <c r="AO369" s="94"/>
      <c r="AP369" s="91"/>
    </row>
    <row r="370">
      <c r="AL370" s="93"/>
      <c r="AM370" s="93"/>
      <c r="AN370" s="93"/>
      <c r="AO370" s="94"/>
      <c r="AP370" s="91"/>
    </row>
    <row r="371">
      <c r="AL371" s="93"/>
      <c r="AM371" s="93"/>
      <c r="AN371" s="93"/>
      <c r="AO371" s="94"/>
      <c r="AP371" s="91"/>
    </row>
    <row r="372">
      <c r="AL372" s="93"/>
      <c r="AM372" s="93"/>
      <c r="AN372" s="93"/>
      <c r="AO372" s="94"/>
      <c r="AP372" s="91"/>
    </row>
    <row r="373">
      <c r="AL373" s="93"/>
      <c r="AM373" s="93"/>
      <c r="AN373" s="93"/>
      <c r="AO373" s="94"/>
      <c r="AP373" s="91"/>
    </row>
    <row r="374">
      <c r="AL374" s="93"/>
      <c r="AM374" s="93"/>
      <c r="AN374" s="93"/>
      <c r="AO374" s="94"/>
      <c r="AP374" s="91"/>
    </row>
    <row r="375">
      <c r="AL375" s="93"/>
      <c r="AM375" s="93"/>
      <c r="AN375" s="93"/>
      <c r="AO375" s="94"/>
      <c r="AP375" s="91"/>
    </row>
    <row r="376">
      <c r="AL376" s="93"/>
      <c r="AM376" s="93"/>
      <c r="AN376" s="93"/>
      <c r="AO376" s="94"/>
      <c r="AP376" s="91"/>
    </row>
    <row r="377">
      <c r="AL377" s="93"/>
      <c r="AM377" s="93"/>
      <c r="AN377" s="93"/>
      <c r="AO377" s="94"/>
      <c r="AP377" s="91"/>
    </row>
    <row r="378">
      <c r="AL378" s="93"/>
      <c r="AM378" s="93"/>
      <c r="AN378" s="93"/>
      <c r="AO378" s="94"/>
      <c r="AP378" s="91"/>
    </row>
    <row r="379">
      <c r="AL379" s="93"/>
      <c r="AM379" s="93"/>
      <c r="AN379" s="93"/>
      <c r="AO379" s="94"/>
      <c r="AP379" s="91"/>
    </row>
    <row r="380">
      <c r="AL380" s="93"/>
      <c r="AM380" s="93"/>
      <c r="AN380" s="93"/>
      <c r="AO380" s="94"/>
      <c r="AP380" s="91"/>
    </row>
    <row r="381">
      <c r="AL381" s="93"/>
      <c r="AM381" s="93"/>
      <c r="AN381" s="93"/>
      <c r="AO381" s="94"/>
      <c r="AP381" s="91"/>
    </row>
    <row r="382">
      <c r="AL382" s="93"/>
      <c r="AM382" s="93"/>
      <c r="AN382" s="93"/>
      <c r="AO382" s="94"/>
      <c r="AP382" s="91"/>
    </row>
    <row r="383">
      <c r="AL383" s="93"/>
      <c r="AM383" s="93"/>
      <c r="AN383" s="93"/>
      <c r="AO383" s="94"/>
      <c r="AP383" s="91"/>
    </row>
    <row r="384">
      <c r="AL384" s="93"/>
      <c r="AM384" s="93"/>
      <c r="AN384" s="93"/>
      <c r="AO384" s="94"/>
      <c r="AP384" s="91"/>
    </row>
    <row r="385">
      <c r="AL385" s="93"/>
      <c r="AM385" s="93"/>
      <c r="AN385" s="93"/>
      <c r="AO385" s="94"/>
      <c r="AP385" s="91"/>
    </row>
    <row r="386">
      <c r="AL386" s="93"/>
      <c r="AM386" s="93"/>
      <c r="AN386" s="93"/>
      <c r="AO386" s="94"/>
      <c r="AP386" s="91"/>
    </row>
    <row r="387">
      <c r="AL387" s="93"/>
      <c r="AM387" s="93"/>
      <c r="AN387" s="93"/>
      <c r="AO387" s="94"/>
      <c r="AP387" s="91"/>
    </row>
    <row r="388">
      <c r="AL388" s="93"/>
      <c r="AM388" s="93"/>
      <c r="AN388" s="93"/>
      <c r="AO388" s="94"/>
      <c r="AP388" s="91"/>
    </row>
    <row r="389">
      <c r="AL389" s="93"/>
      <c r="AM389" s="93"/>
      <c r="AN389" s="93"/>
      <c r="AO389" s="94"/>
      <c r="AP389" s="91"/>
    </row>
    <row r="390">
      <c r="AL390" s="93"/>
      <c r="AM390" s="93"/>
      <c r="AN390" s="93"/>
      <c r="AO390" s="94"/>
      <c r="AP390" s="91"/>
    </row>
    <row r="391">
      <c r="AL391" s="93"/>
      <c r="AM391" s="93"/>
      <c r="AN391" s="93"/>
      <c r="AO391" s="94"/>
      <c r="AP391" s="91"/>
    </row>
    <row r="392">
      <c r="AL392" s="93"/>
      <c r="AM392" s="93"/>
      <c r="AN392" s="93"/>
      <c r="AO392" s="94"/>
      <c r="AP392" s="91"/>
    </row>
    <row r="393">
      <c r="AL393" s="93"/>
      <c r="AM393" s="93"/>
      <c r="AN393" s="93"/>
      <c r="AO393" s="94"/>
      <c r="AP393" s="91"/>
    </row>
    <row r="394">
      <c r="AL394" s="93"/>
      <c r="AM394" s="93"/>
      <c r="AN394" s="93"/>
      <c r="AO394" s="94"/>
      <c r="AP394" s="91"/>
    </row>
    <row r="395">
      <c r="AL395" s="93"/>
      <c r="AM395" s="93"/>
      <c r="AN395" s="93"/>
      <c r="AO395" s="94"/>
      <c r="AP395" s="91"/>
    </row>
    <row r="396">
      <c r="AL396" s="93"/>
      <c r="AM396" s="93"/>
      <c r="AN396" s="93"/>
      <c r="AO396" s="94"/>
      <c r="AP396" s="91"/>
    </row>
    <row r="397">
      <c r="AL397" s="93"/>
      <c r="AM397" s="93"/>
      <c r="AN397" s="93"/>
      <c r="AO397" s="94"/>
      <c r="AP397" s="91"/>
    </row>
    <row r="398">
      <c r="AL398" s="93"/>
      <c r="AM398" s="93"/>
      <c r="AN398" s="93"/>
      <c r="AO398" s="94"/>
      <c r="AP398" s="91"/>
    </row>
    <row r="399">
      <c r="AL399" s="93"/>
      <c r="AM399" s="93"/>
      <c r="AN399" s="93"/>
      <c r="AO399" s="94"/>
      <c r="AP399" s="91"/>
    </row>
    <row r="400">
      <c r="AL400" s="93"/>
      <c r="AM400" s="93"/>
      <c r="AN400" s="93"/>
      <c r="AO400" s="94"/>
      <c r="AP400" s="91"/>
    </row>
    <row r="401">
      <c r="AL401" s="93"/>
      <c r="AM401" s="93"/>
      <c r="AN401" s="93"/>
      <c r="AO401" s="94"/>
      <c r="AP401" s="91"/>
    </row>
    <row r="402">
      <c r="AL402" s="93"/>
      <c r="AM402" s="93"/>
      <c r="AN402" s="93"/>
      <c r="AO402" s="94"/>
      <c r="AP402" s="91"/>
    </row>
    <row r="403">
      <c r="AL403" s="93"/>
      <c r="AM403" s="93"/>
      <c r="AN403" s="93"/>
      <c r="AO403" s="94"/>
      <c r="AP403" s="91"/>
    </row>
    <row r="404">
      <c r="AL404" s="93"/>
      <c r="AM404" s="93"/>
      <c r="AN404" s="93"/>
      <c r="AO404" s="94"/>
      <c r="AP404" s="91"/>
    </row>
    <row r="405">
      <c r="AL405" s="93"/>
      <c r="AM405" s="93"/>
      <c r="AN405" s="93"/>
      <c r="AO405" s="94"/>
      <c r="AP405" s="91"/>
    </row>
    <row r="406">
      <c r="AL406" s="93"/>
      <c r="AM406" s="93"/>
      <c r="AN406" s="93"/>
      <c r="AO406" s="94"/>
      <c r="AP406" s="91"/>
    </row>
    <row r="407">
      <c r="AL407" s="93"/>
      <c r="AM407" s="93"/>
      <c r="AN407" s="93"/>
      <c r="AO407" s="94"/>
      <c r="AP407" s="91"/>
    </row>
    <row r="408">
      <c r="AL408" s="93"/>
      <c r="AM408" s="93"/>
      <c r="AN408" s="93"/>
      <c r="AO408" s="94"/>
      <c r="AP408" s="91"/>
    </row>
    <row r="409">
      <c r="AL409" s="93"/>
      <c r="AM409" s="93"/>
      <c r="AN409" s="93"/>
      <c r="AO409" s="94"/>
      <c r="AP409" s="91"/>
    </row>
    <row r="410">
      <c r="AL410" s="93"/>
      <c r="AM410" s="93"/>
      <c r="AN410" s="93"/>
      <c r="AO410" s="94"/>
      <c r="AP410" s="91"/>
    </row>
    <row r="411">
      <c r="AL411" s="93"/>
      <c r="AM411" s="93"/>
      <c r="AN411" s="93"/>
      <c r="AO411" s="94"/>
      <c r="AP411" s="91"/>
    </row>
    <row r="412">
      <c r="AL412" s="93"/>
      <c r="AM412" s="93"/>
      <c r="AN412" s="93"/>
      <c r="AO412" s="94"/>
      <c r="AP412" s="91"/>
    </row>
    <row r="413">
      <c r="AL413" s="93"/>
      <c r="AM413" s="93"/>
      <c r="AN413" s="93"/>
      <c r="AO413" s="94"/>
      <c r="AP413" s="91"/>
    </row>
    <row r="414">
      <c r="AL414" s="93"/>
      <c r="AM414" s="93"/>
      <c r="AN414" s="93"/>
      <c r="AO414" s="94"/>
      <c r="AP414" s="91"/>
    </row>
    <row r="415">
      <c r="AL415" s="93"/>
      <c r="AM415" s="93"/>
      <c r="AN415" s="93"/>
      <c r="AO415" s="94"/>
      <c r="AP415" s="91"/>
    </row>
    <row r="416">
      <c r="AL416" s="93"/>
      <c r="AM416" s="93"/>
      <c r="AN416" s="93"/>
      <c r="AO416" s="94"/>
      <c r="AP416" s="91"/>
    </row>
    <row r="417">
      <c r="AL417" s="93"/>
      <c r="AM417" s="93"/>
      <c r="AN417" s="93"/>
      <c r="AO417" s="94"/>
      <c r="AP417" s="91"/>
    </row>
    <row r="418">
      <c r="AL418" s="93"/>
      <c r="AM418" s="93"/>
      <c r="AN418" s="93"/>
      <c r="AO418" s="94"/>
      <c r="AP418" s="91"/>
    </row>
    <row r="419">
      <c r="AL419" s="93"/>
      <c r="AM419" s="93"/>
      <c r="AN419" s="93"/>
      <c r="AO419" s="94"/>
      <c r="AP419" s="91"/>
    </row>
    <row r="420">
      <c r="AL420" s="93"/>
      <c r="AM420" s="93"/>
      <c r="AN420" s="93"/>
      <c r="AO420" s="94"/>
      <c r="AP420" s="91"/>
    </row>
    <row r="421">
      <c r="AL421" s="93"/>
      <c r="AM421" s="93"/>
      <c r="AN421" s="93"/>
      <c r="AO421" s="94"/>
      <c r="AP421" s="91"/>
    </row>
    <row r="422">
      <c r="AL422" s="93"/>
      <c r="AM422" s="93"/>
      <c r="AN422" s="93"/>
      <c r="AO422" s="94"/>
      <c r="AP422" s="91"/>
    </row>
    <row r="423">
      <c r="AL423" s="93"/>
      <c r="AM423" s="93"/>
      <c r="AN423" s="93"/>
      <c r="AO423" s="94"/>
      <c r="AP423" s="91"/>
    </row>
    <row r="424">
      <c r="AL424" s="93"/>
      <c r="AM424" s="93"/>
      <c r="AN424" s="93"/>
      <c r="AO424" s="94"/>
      <c r="AP424" s="91"/>
    </row>
    <row r="425">
      <c r="AL425" s="93"/>
      <c r="AM425" s="93"/>
      <c r="AN425" s="93"/>
      <c r="AO425" s="94"/>
      <c r="AP425" s="91"/>
    </row>
    <row r="426">
      <c r="AL426" s="93"/>
      <c r="AM426" s="93"/>
      <c r="AN426" s="93"/>
      <c r="AO426" s="94"/>
      <c r="AP426" s="91"/>
    </row>
    <row r="427">
      <c r="AL427" s="93"/>
      <c r="AM427" s="93"/>
      <c r="AN427" s="93"/>
      <c r="AO427" s="94"/>
      <c r="AP427" s="91"/>
    </row>
    <row r="428">
      <c r="AL428" s="93"/>
      <c r="AM428" s="93"/>
      <c r="AN428" s="93"/>
      <c r="AO428" s="94"/>
      <c r="AP428" s="91"/>
    </row>
    <row r="429">
      <c r="AL429" s="93"/>
      <c r="AM429" s="93"/>
      <c r="AN429" s="93"/>
      <c r="AO429" s="94"/>
      <c r="AP429" s="91"/>
    </row>
    <row r="430">
      <c r="AL430" s="93"/>
      <c r="AM430" s="93"/>
      <c r="AN430" s="93"/>
      <c r="AO430" s="94"/>
      <c r="AP430" s="91"/>
    </row>
    <row r="431">
      <c r="AL431" s="93"/>
      <c r="AM431" s="93"/>
      <c r="AN431" s="93"/>
      <c r="AO431" s="94"/>
      <c r="AP431" s="91"/>
    </row>
    <row r="432">
      <c r="AL432" s="93"/>
      <c r="AM432" s="93"/>
      <c r="AN432" s="93"/>
      <c r="AO432" s="94"/>
      <c r="AP432" s="91"/>
    </row>
    <row r="433">
      <c r="AL433" s="93"/>
      <c r="AM433" s="93"/>
      <c r="AN433" s="93"/>
      <c r="AO433" s="94"/>
      <c r="AP433" s="91"/>
    </row>
    <row r="434">
      <c r="AL434" s="93"/>
      <c r="AM434" s="93"/>
      <c r="AN434" s="93"/>
      <c r="AO434" s="94"/>
      <c r="AP434" s="91"/>
    </row>
    <row r="435">
      <c r="AL435" s="93"/>
      <c r="AM435" s="93"/>
      <c r="AN435" s="93"/>
      <c r="AO435" s="94"/>
      <c r="AP435" s="91"/>
    </row>
    <row r="436">
      <c r="AL436" s="93"/>
      <c r="AM436" s="93"/>
      <c r="AN436" s="93"/>
      <c r="AO436" s="94"/>
      <c r="AP436" s="91"/>
    </row>
    <row r="437">
      <c r="AL437" s="93"/>
      <c r="AM437" s="93"/>
      <c r="AN437" s="93"/>
      <c r="AO437" s="94"/>
      <c r="AP437" s="91"/>
    </row>
    <row r="438">
      <c r="AL438" s="93"/>
      <c r="AM438" s="93"/>
      <c r="AN438" s="93"/>
      <c r="AO438" s="94"/>
      <c r="AP438" s="91"/>
    </row>
    <row r="439">
      <c r="AL439" s="93"/>
      <c r="AM439" s="93"/>
      <c r="AN439" s="93"/>
      <c r="AO439" s="94"/>
      <c r="AP439" s="91"/>
    </row>
    <row r="440">
      <c r="AL440" s="93"/>
      <c r="AM440" s="93"/>
      <c r="AN440" s="93"/>
      <c r="AO440" s="94"/>
      <c r="AP440" s="91"/>
    </row>
    <row r="441">
      <c r="AL441" s="93"/>
      <c r="AM441" s="93"/>
      <c r="AN441" s="93"/>
      <c r="AO441" s="94"/>
      <c r="AP441" s="91"/>
    </row>
    <row r="442">
      <c r="AL442" s="93"/>
      <c r="AM442" s="93"/>
      <c r="AN442" s="93"/>
      <c r="AO442" s="94"/>
      <c r="AP442" s="91"/>
    </row>
    <row r="443">
      <c r="AL443" s="93"/>
      <c r="AM443" s="93"/>
      <c r="AN443" s="93"/>
      <c r="AO443" s="94"/>
      <c r="AP443" s="91"/>
    </row>
    <row r="444">
      <c r="AL444" s="93"/>
      <c r="AM444" s="93"/>
      <c r="AN444" s="93"/>
      <c r="AO444" s="94"/>
      <c r="AP444" s="91"/>
    </row>
    <row r="445">
      <c r="AL445" s="93"/>
      <c r="AM445" s="93"/>
      <c r="AN445" s="93"/>
      <c r="AO445" s="94"/>
      <c r="AP445" s="91"/>
    </row>
    <row r="446">
      <c r="AL446" s="93"/>
      <c r="AM446" s="93"/>
      <c r="AN446" s="93"/>
      <c r="AO446" s="94"/>
      <c r="AP446" s="91"/>
    </row>
    <row r="447">
      <c r="AL447" s="93"/>
      <c r="AM447" s="93"/>
      <c r="AN447" s="93"/>
      <c r="AO447" s="94"/>
      <c r="AP447" s="91"/>
    </row>
    <row r="448">
      <c r="AL448" s="93"/>
      <c r="AM448" s="93"/>
      <c r="AN448" s="93"/>
      <c r="AO448" s="94"/>
      <c r="AP448" s="91"/>
    </row>
    <row r="449">
      <c r="AL449" s="93"/>
      <c r="AM449" s="93"/>
      <c r="AN449" s="93"/>
      <c r="AO449" s="94"/>
      <c r="AP449" s="91"/>
    </row>
    <row r="450">
      <c r="AL450" s="93"/>
      <c r="AM450" s="93"/>
      <c r="AN450" s="93"/>
      <c r="AO450" s="94"/>
      <c r="AP450" s="91"/>
    </row>
    <row r="451">
      <c r="AL451" s="93"/>
      <c r="AM451" s="93"/>
      <c r="AN451" s="93"/>
      <c r="AO451" s="94"/>
      <c r="AP451" s="91"/>
    </row>
    <row r="452">
      <c r="AL452" s="93"/>
      <c r="AM452" s="93"/>
      <c r="AN452" s="93"/>
      <c r="AO452" s="94"/>
      <c r="AP452" s="91"/>
    </row>
    <row r="453">
      <c r="AL453" s="93"/>
      <c r="AM453" s="93"/>
      <c r="AN453" s="93"/>
      <c r="AO453" s="94"/>
      <c r="AP453" s="91"/>
    </row>
    <row r="454">
      <c r="AL454" s="93"/>
      <c r="AM454" s="93"/>
      <c r="AN454" s="93"/>
      <c r="AO454" s="94"/>
      <c r="AP454" s="91"/>
    </row>
    <row r="455">
      <c r="AL455" s="93"/>
      <c r="AM455" s="93"/>
      <c r="AN455" s="93"/>
      <c r="AO455" s="94"/>
      <c r="AP455" s="91"/>
    </row>
    <row r="456">
      <c r="AL456" s="93"/>
      <c r="AM456" s="93"/>
      <c r="AN456" s="93"/>
      <c r="AO456" s="94"/>
      <c r="AP456" s="91"/>
    </row>
    <row r="457">
      <c r="AL457" s="93"/>
      <c r="AM457" s="93"/>
      <c r="AN457" s="93"/>
      <c r="AO457" s="94"/>
      <c r="AP457" s="91"/>
    </row>
    <row r="458">
      <c r="AL458" s="93"/>
      <c r="AM458" s="93"/>
      <c r="AN458" s="93"/>
      <c r="AO458" s="94"/>
      <c r="AP458" s="91"/>
    </row>
    <row r="459">
      <c r="AL459" s="93"/>
      <c r="AM459" s="93"/>
      <c r="AN459" s="93"/>
      <c r="AO459" s="94"/>
      <c r="AP459" s="91"/>
    </row>
    <row r="460">
      <c r="AL460" s="93"/>
      <c r="AM460" s="93"/>
      <c r="AN460" s="93"/>
      <c r="AO460" s="94"/>
      <c r="AP460" s="91"/>
    </row>
    <row r="461">
      <c r="AL461" s="93"/>
      <c r="AM461" s="93"/>
      <c r="AN461" s="93"/>
      <c r="AO461" s="94"/>
      <c r="AP461" s="91"/>
    </row>
    <row r="462">
      <c r="AL462" s="93"/>
      <c r="AM462" s="93"/>
      <c r="AN462" s="93"/>
      <c r="AO462" s="94"/>
      <c r="AP462" s="91"/>
    </row>
    <row r="463">
      <c r="AL463" s="93"/>
      <c r="AM463" s="93"/>
      <c r="AN463" s="93"/>
      <c r="AO463" s="94"/>
      <c r="AP463" s="91"/>
    </row>
    <row r="464">
      <c r="AL464" s="93"/>
      <c r="AM464" s="93"/>
      <c r="AN464" s="93"/>
      <c r="AO464" s="94"/>
      <c r="AP464" s="91"/>
    </row>
    <row r="465">
      <c r="AL465" s="93"/>
      <c r="AM465" s="93"/>
      <c r="AN465" s="93"/>
      <c r="AO465" s="94"/>
      <c r="AP465" s="91"/>
    </row>
    <row r="466">
      <c r="AL466" s="93"/>
      <c r="AM466" s="93"/>
      <c r="AN466" s="93"/>
      <c r="AO466" s="94"/>
      <c r="AP466" s="91"/>
    </row>
    <row r="467">
      <c r="AL467" s="93"/>
      <c r="AM467" s="93"/>
      <c r="AN467" s="93"/>
      <c r="AO467" s="94"/>
      <c r="AP467" s="91"/>
    </row>
    <row r="468">
      <c r="AL468" s="93"/>
      <c r="AM468" s="93"/>
      <c r="AN468" s="93"/>
      <c r="AO468" s="94"/>
      <c r="AP468" s="91"/>
    </row>
    <row r="469">
      <c r="AL469" s="93"/>
      <c r="AM469" s="93"/>
      <c r="AN469" s="93"/>
      <c r="AO469" s="94"/>
      <c r="AP469" s="91"/>
    </row>
    <row r="470">
      <c r="AL470" s="93"/>
      <c r="AM470" s="93"/>
      <c r="AN470" s="93"/>
      <c r="AO470" s="94"/>
      <c r="AP470" s="91"/>
    </row>
    <row r="471">
      <c r="AL471" s="93"/>
      <c r="AM471" s="93"/>
      <c r="AN471" s="93"/>
      <c r="AO471" s="94"/>
      <c r="AP471" s="91"/>
    </row>
    <row r="472">
      <c r="AL472" s="93"/>
      <c r="AM472" s="93"/>
      <c r="AN472" s="93"/>
      <c r="AO472" s="94"/>
      <c r="AP472" s="91"/>
    </row>
    <row r="473">
      <c r="AL473" s="93"/>
      <c r="AM473" s="93"/>
      <c r="AN473" s="93"/>
      <c r="AO473" s="94"/>
      <c r="AP473" s="91"/>
    </row>
    <row r="474">
      <c r="AL474" s="93"/>
      <c r="AM474" s="93"/>
      <c r="AN474" s="93"/>
      <c r="AO474" s="94"/>
      <c r="AP474" s="91"/>
    </row>
    <row r="475">
      <c r="AL475" s="93"/>
      <c r="AM475" s="93"/>
      <c r="AN475" s="93"/>
      <c r="AO475" s="94"/>
      <c r="AP475" s="91"/>
    </row>
    <row r="476">
      <c r="AL476" s="93"/>
      <c r="AM476" s="93"/>
      <c r="AN476" s="93"/>
      <c r="AO476" s="94"/>
      <c r="AP476" s="91"/>
    </row>
    <row r="477">
      <c r="AL477" s="93"/>
      <c r="AM477" s="93"/>
      <c r="AN477" s="93"/>
      <c r="AO477" s="94"/>
      <c r="AP477" s="91"/>
    </row>
    <row r="478">
      <c r="AL478" s="93"/>
      <c r="AM478" s="93"/>
      <c r="AN478" s="93"/>
      <c r="AO478" s="94"/>
      <c r="AP478" s="91"/>
    </row>
    <row r="479">
      <c r="AL479" s="93"/>
      <c r="AM479" s="93"/>
      <c r="AN479" s="93"/>
      <c r="AO479" s="94"/>
      <c r="AP479" s="91"/>
    </row>
    <row r="480">
      <c r="AL480" s="93"/>
      <c r="AM480" s="93"/>
      <c r="AN480" s="93"/>
      <c r="AO480" s="94"/>
      <c r="AP480" s="91"/>
    </row>
    <row r="481">
      <c r="AL481" s="93"/>
      <c r="AM481" s="93"/>
      <c r="AN481" s="93"/>
      <c r="AO481" s="94"/>
      <c r="AP481" s="91"/>
    </row>
    <row r="482">
      <c r="AL482" s="93"/>
      <c r="AM482" s="93"/>
      <c r="AN482" s="93"/>
      <c r="AO482" s="94"/>
      <c r="AP482" s="91"/>
    </row>
    <row r="483">
      <c r="AL483" s="93"/>
      <c r="AM483" s="93"/>
      <c r="AN483" s="93"/>
      <c r="AO483" s="94"/>
      <c r="AP483" s="91"/>
    </row>
    <row r="484">
      <c r="AL484" s="93"/>
      <c r="AM484" s="93"/>
      <c r="AN484" s="93"/>
      <c r="AO484" s="94"/>
      <c r="AP484" s="91"/>
    </row>
    <row r="485">
      <c r="AL485" s="93"/>
      <c r="AM485" s="93"/>
      <c r="AN485" s="93"/>
      <c r="AO485" s="94"/>
      <c r="AP485" s="91"/>
    </row>
    <row r="486">
      <c r="AL486" s="93"/>
      <c r="AM486" s="93"/>
      <c r="AN486" s="93"/>
      <c r="AO486" s="94"/>
      <c r="AP486" s="91"/>
    </row>
    <row r="487">
      <c r="AL487" s="93"/>
      <c r="AM487" s="93"/>
      <c r="AN487" s="93"/>
      <c r="AO487" s="94"/>
      <c r="AP487" s="91"/>
    </row>
    <row r="488">
      <c r="AL488" s="93"/>
      <c r="AM488" s="93"/>
      <c r="AN488" s="93"/>
      <c r="AO488" s="94"/>
      <c r="AP488" s="91"/>
    </row>
    <row r="489">
      <c r="AL489" s="93"/>
      <c r="AM489" s="93"/>
      <c r="AN489" s="93"/>
      <c r="AO489" s="94"/>
      <c r="AP489" s="91"/>
    </row>
    <row r="490">
      <c r="AL490" s="93"/>
      <c r="AM490" s="93"/>
      <c r="AN490" s="93"/>
      <c r="AO490" s="94"/>
      <c r="AP490" s="91"/>
    </row>
    <row r="491">
      <c r="AL491" s="93"/>
      <c r="AM491" s="93"/>
      <c r="AN491" s="93"/>
      <c r="AO491" s="94"/>
      <c r="AP491" s="91"/>
    </row>
    <row r="492">
      <c r="AL492" s="93"/>
      <c r="AM492" s="93"/>
      <c r="AN492" s="93"/>
      <c r="AO492" s="94"/>
      <c r="AP492" s="91"/>
    </row>
    <row r="493">
      <c r="AL493" s="93"/>
      <c r="AM493" s="93"/>
      <c r="AN493" s="93"/>
      <c r="AO493" s="94"/>
      <c r="AP493" s="91"/>
    </row>
    <row r="494">
      <c r="AL494" s="93"/>
      <c r="AM494" s="93"/>
      <c r="AN494" s="93"/>
      <c r="AO494" s="94"/>
      <c r="AP494" s="91"/>
    </row>
    <row r="495">
      <c r="AL495" s="93"/>
      <c r="AM495" s="93"/>
      <c r="AN495" s="93"/>
      <c r="AO495" s="94"/>
      <c r="AP495" s="91"/>
    </row>
    <row r="496">
      <c r="AL496" s="93"/>
      <c r="AM496" s="93"/>
      <c r="AN496" s="93"/>
      <c r="AO496" s="94"/>
      <c r="AP496" s="91"/>
    </row>
    <row r="497">
      <c r="AL497" s="93"/>
      <c r="AM497" s="93"/>
      <c r="AN497" s="93"/>
      <c r="AO497" s="94"/>
      <c r="AP497" s="91"/>
    </row>
    <row r="498">
      <c r="AL498" s="93"/>
      <c r="AM498" s="93"/>
      <c r="AN498" s="93"/>
      <c r="AO498" s="94"/>
      <c r="AP498" s="91"/>
    </row>
    <row r="499">
      <c r="AL499" s="93"/>
      <c r="AM499" s="93"/>
      <c r="AN499" s="93"/>
      <c r="AO499" s="94"/>
      <c r="AP499" s="91"/>
    </row>
    <row r="500">
      <c r="AL500" s="93"/>
      <c r="AM500" s="93"/>
      <c r="AN500" s="93"/>
      <c r="AO500" s="94"/>
      <c r="AP500" s="91"/>
    </row>
    <row r="501">
      <c r="AL501" s="93"/>
      <c r="AM501" s="93"/>
      <c r="AN501" s="93"/>
      <c r="AO501" s="94"/>
      <c r="AP501" s="91"/>
    </row>
    <row r="502">
      <c r="AL502" s="93"/>
      <c r="AM502" s="93"/>
      <c r="AN502" s="93"/>
      <c r="AO502" s="94"/>
      <c r="AP502" s="91"/>
    </row>
    <row r="503">
      <c r="AL503" s="93"/>
      <c r="AM503" s="93"/>
      <c r="AN503" s="93"/>
      <c r="AO503" s="94"/>
      <c r="AP503" s="91"/>
    </row>
    <row r="504">
      <c r="AL504" s="93"/>
      <c r="AM504" s="93"/>
      <c r="AN504" s="93"/>
      <c r="AO504" s="94"/>
      <c r="AP504" s="91"/>
    </row>
    <row r="505">
      <c r="AL505" s="93"/>
      <c r="AM505" s="93"/>
      <c r="AN505" s="93"/>
      <c r="AO505" s="94"/>
      <c r="AP505" s="91"/>
    </row>
    <row r="506">
      <c r="AL506" s="93"/>
      <c r="AM506" s="93"/>
      <c r="AN506" s="93"/>
      <c r="AO506" s="94"/>
      <c r="AP506" s="91"/>
    </row>
    <row r="507">
      <c r="AL507" s="93"/>
      <c r="AM507" s="93"/>
      <c r="AN507" s="93"/>
      <c r="AO507" s="94"/>
      <c r="AP507" s="91"/>
    </row>
    <row r="508">
      <c r="AL508" s="93"/>
      <c r="AM508" s="93"/>
      <c r="AN508" s="93"/>
      <c r="AO508" s="94"/>
      <c r="AP508" s="91"/>
    </row>
    <row r="509">
      <c r="AL509" s="93"/>
      <c r="AM509" s="93"/>
      <c r="AN509" s="93"/>
      <c r="AO509" s="94"/>
      <c r="AP509" s="91"/>
    </row>
    <row r="510">
      <c r="AL510" s="93"/>
      <c r="AM510" s="93"/>
      <c r="AN510" s="93"/>
      <c r="AO510" s="94"/>
      <c r="AP510" s="91"/>
    </row>
    <row r="511">
      <c r="AL511" s="93"/>
      <c r="AM511" s="93"/>
      <c r="AN511" s="93"/>
      <c r="AO511" s="94"/>
      <c r="AP511" s="91"/>
    </row>
    <row r="512">
      <c r="AL512" s="93"/>
      <c r="AM512" s="93"/>
      <c r="AN512" s="93"/>
      <c r="AO512" s="94"/>
      <c r="AP512" s="91"/>
    </row>
    <row r="513">
      <c r="AL513" s="93"/>
      <c r="AM513" s="93"/>
      <c r="AN513" s="93"/>
      <c r="AO513" s="94"/>
      <c r="AP513" s="91"/>
    </row>
    <row r="514">
      <c r="AL514" s="93"/>
      <c r="AM514" s="93"/>
      <c r="AN514" s="93"/>
      <c r="AO514" s="94"/>
      <c r="AP514" s="91"/>
    </row>
    <row r="515">
      <c r="AL515" s="93"/>
      <c r="AM515" s="93"/>
      <c r="AN515" s="93"/>
      <c r="AO515" s="94"/>
      <c r="AP515" s="91"/>
    </row>
    <row r="516">
      <c r="AL516" s="93"/>
      <c r="AM516" s="93"/>
      <c r="AN516" s="93"/>
      <c r="AO516" s="94"/>
      <c r="AP516" s="91"/>
    </row>
    <row r="517">
      <c r="AL517" s="93"/>
      <c r="AM517" s="93"/>
      <c r="AN517" s="93"/>
      <c r="AO517" s="94"/>
      <c r="AP517" s="91"/>
    </row>
    <row r="518">
      <c r="AL518" s="93"/>
      <c r="AM518" s="93"/>
      <c r="AN518" s="93"/>
      <c r="AO518" s="94"/>
      <c r="AP518" s="91"/>
    </row>
    <row r="519">
      <c r="AL519" s="93"/>
      <c r="AM519" s="93"/>
      <c r="AN519" s="93"/>
      <c r="AO519" s="94"/>
      <c r="AP519" s="91"/>
    </row>
    <row r="520">
      <c r="AL520" s="93"/>
      <c r="AM520" s="93"/>
      <c r="AN520" s="93"/>
      <c r="AO520" s="94"/>
      <c r="AP520" s="91"/>
    </row>
    <row r="521">
      <c r="AL521" s="93"/>
      <c r="AM521" s="93"/>
      <c r="AN521" s="93"/>
      <c r="AO521" s="94"/>
      <c r="AP521" s="91"/>
    </row>
    <row r="522">
      <c r="AL522" s="93"/>
      <c r="AM522" s="93"/>
      <c r="AN522" s="93"/>
      <c r="AO522" s="94"/>
      <c r="AP522" s="91"/>
    </row>
    <row r="523">
      <c r="AL523" s="93"/>
      <c r="AM523" s="93"/>
      <c r="AN523" s="93"/>
      <c r="AO523" s="94"/>
      <c r="AP523" s="91"/>
    </row>
    <row r="524">
      <c r="AL524" s="93"/>
      <c r="AM524" s="93"/>
      <c r="AN524" s="93"/>
      <c r="AO524" s="94"/>
      <c r="AP524" s="91"/>
    </row>
    <row r="525">
      <c r="AL525" s="93"/>
      <c r="AM525" s="93"/>
      <c r="AN525" s="93"/>
      <c r="AO525" s="94"/>
      <c r="AP525" s="91"/>
    </row>
    <row r="526">
      <c r="AL526" s="93"/>
      <c r="AM526" s="93"/>
      <c r="AN526" s="93"/>
      <c r="AO526" s="94"/>
      <c r="AP526" s="91"/>
    </row>
    <row r="527">
      <c r="AL527" s="93"/>
      <c r="AM527" s="93"/>
      <c r="AN527" s="93"/>
      <c r="AO527" s="94"/>
      <c r="AP527" s="91"/>
    </row>
    <row r="528">
      <c r="AL528" s="93"/>
      <c r="AM528" s="93"/>
      <c r="AN528" s="93"/>
      <c r="AO528" s="94"/>
      <c r="AP528" s="91"/>
    </row>
    <row r="529">
      <c r="AL529" s="93"/>
      <c r="AM529" s="93"/>
      <c r="AN529" s="93"/>
      <c r="AO529" s="94"/>
      <c r="AP529" s="91"/>
    </row>
    <row r="530">
      <c r="AL530" s="93"/>
      <c r="AM530" s="93"/>
      <c r="AN530" s="93"/>
      <c r="AO530" s="94"/>
      <c r="AP530" s="91"/>
    </row>
    <row r="531">
      <c r="AL531" s="93"/>
      <c r="AM531" s="93"/>
      <c r="AN531" s="93"/>
      <c r="AO531" s="94"/>
      <c r="AP531" s="91"/>
    </row>
    <row r="532">
      <c r="AL532" s="93"/>
      <c r="AM532" s="93"/>
      <c r="AN532" s="93"/>
      <c r="AO532" s="94"/>
      <c r="AP532" s="91"/>
    </row>
    <row r="533">
      <c r="AL533" s="93"/>
      <c r="AM533" s="93"/>
      <c r="AN533" s="93"/>
      <c r="AO533" s="94"/>
      <c r="AP533" s="91"/>
    </row>
    <row r="534">
      <c r="AL534" s="93"/>
      <c r="AM534" s="93"/>
      <c r="AN534" s="93"/>
      <c r="AO534" s="94"/>
      <c r="AP534" s="91"/>
    </row>
    <row r="535">
      <c r="AL535" s="93"/>
      <c r="AM535" s="93"/>
      <c r="AN535" s="93"/>
      <c r="AO535" s="94"/>
      <c r="AP535" s="91"/>
    </row>
    <row r="536">
      <c r="AL536" s="93"/>
      <c r="AM536" s="93"/>
      <c r="AN536" s="93"/>
      <c r="AO536" s="94"/>
      <c r="AP536" s="91"/>
    </row>
    <row r="537">
      <c r="AL537" s="93"/>
      <c r="AM537" s="93"/>
      <c r="AN537" s="93"/>
      <c r="AO537" s="94"/>
      <c r="AP537" s="91"/>
    </row>
    <row r="538">
      <c r="AL538" s="93"/>
      <c r="AM538" s="93"/>
      <c r="AN538" s="93"/>
      <c r="AO538" s="94"/>
      <c r="AP538" s="91"/>
    </row>
    <row r="539">
      <c r="AL539" s="93"/>
      <c r="AM539" s="93"/>
      <c r="AN539" s="93"/>
      <c r="AO539" s="94"/>
      <c r="AP539" s="91"/>
    </row>
    <row r="540">
      <c r="AL540" s="93"/>
      <c r="AM540" s="93"/>
      <c r="AN540" s="93"/>
      <c r="AO540" s="94"/>
      <c r="AP540" s="91"/>
    </row>
    <row r="541">
      <c r="AL541" s="93"/>
      <c r="AM541" s="93"/>
      <c r="AN541" s="93"/>
      <c r="AO541" s="94"/>
      <c r="AP541" s="91"/>
    </row>
    <row r="542">
      <c r="AL542" s="93"/>
      <c r="AM542" s="93"/>
      <c r="AN542" s="93"/>
      <c r="AO542" s="94"/>
      <c r="AP542" s="91"/>
    </row>
    <row r="543">
      <c r="AL543" s="93"/>
      <c r="AM543" s="93"/>
      <c r="AN543" s="93"/>
      <c r="AO543" s="94"/>
      <c r="AP543" s="91"/>
    </row>
    <row r="544">
      <c r="AL544" s="93"/>
      <c r="AM544" s="93"/>
      <c r="AN544" s="93"/>
      <c r="AO544" s="94"/>
      <c r="AP544" s="91"/>
    </row>
    <row r="545">
      <c r="AL545" s="93"/>
      <c r="AM545" s="93"/>
      <c r="AN545" s="93"/>
      <c r="AO545" s="94"/>
      <c r="AP545" s="91"/>
    </row>
    <row r="546">
      <c r="AL546" s="93"/>
      <c r="AM546" s="93"/>
      <c r="AN546" s="93"/>
      <c r="AO546" s="94"/>
      <c r="AP546" s="91"/>
    </row>
    <row r="547">
      <c r="AL547" s="93"/>
      <c r="AM547" s="93"/>
      <c r="AN547" s="93"/>
      <c r="AO547" s="94"/>
      <c r="AP547" s="91"/>
    </row>
    <row r="548">
      <c r="AL548" s="93"/>
      <c r="AM548" s="93"/>
      <c r="AN548" s="93"/>
      <c r="AO548" s="94"/>
      <c r="AP548" s="91"/>
    </row>
    <row r="549">
      <c r="AL549" s="93"/>
      <c r="AM549" s="93"/>
      <c r="AN549" s="93"/>
      <c r="AO549" s="94"/>
      <c r="AP549" s="91"/>
    </row>
    <row r="550">
      <c r="AL550" s="93"/>
      <c r="AM550" s="93"/>
      <c r="AN550" s="93"/>
      <c r="AO550" s="94"/>
      <c r="AP550" s="91"/>
    </row>
    <row r="551">
      <c r="AL551" s="93"/>
      <c r="AM551" s="93"/>
      <c r="AN551" s="93"/>
      <c r="AO551" s="94"/>
      <c r="AP551" s="91"/>
    </row>
    <row r="552">
      <c r="AL552" s="93"/>
      <c r="AM552" s="93"/>
      <c r="AN552" s="93"/>
      <c r="AO552" s="94"/>
      <c r="AP552" s="91"/>
    </row>
    <row r="553">
      <c r="AL553" s="93"/>
      <c r="AM553" s="93"/>
      <c r="AN553" s="93"/>
      <c r="AO553" s="94"/>
      <c r="AP553" s="91"/>
    </row>
    <row r="554">
      <c r="AL554" s="93"/>
      <c r="AM554" s="93"/>
      <c r="AN554" s="93"/>
      <c r="AO554" s="94"/>
      <c r="AP554" s="91"/>
    </row>
    <row r="555">
      <c r="AL555" s="93"/>
      <c r="AM555" s="93"/>
      <c r="AN555" s="93"/>
      <c r="AO555" s="94"/>
      <c r="AP555" s="91"/>
    </row>
    <row r="556">
      <c r="AL556" s="93"/>
      <c r="AM556" s="93"/>
      <c r="AN556" s="93"/>
      <c r="AO556" s="94"/>
      <c r="AP556" s="91"/>
    </row>
    <row r="557">
      <c r="AL557" s="93"/>
      <c r="AM557" s="93"/>
      <c r="AN557" s="93"/>
      <c r="AO557" s="94"/>
      <c r="AP557" s="91"/>
    </row>
    <row r="558">
      <c r="AL558" s="93"/>
      <c r="AM558" s="93"/>
      <c r="AN558" s="93"/>
      <c r="AO558" s="94"/>
      <c r="AP558" s="91"/>
    </row>
    <row r="559">
      <c r="AL559" s="93"/>
      <c r="AM559" s="93"/>
      <c r="AN559" s="93"/>
      <c r="AO559" s="94"/>
      <c r="AP559" s="91"/>
    </row>
    <row r="560">
      <c r="AL560" s="93"/>
      <c r="AM560" s="93"/>
      <c r="AN560" s="93"/>
      <c r="AO560" s="94"/>
      <c r="AP560" s="91"/>
    </row>
    <row r="561">
      <c r="AL561" s="93"/>
      <c r="AM561" s="93"/>
      <c r="AN561" s="93"/>
      <c r="AO561" s="94"/>
      <c r="AP561" s="91"/>
    </row>
    <row r="562">
      <c r="AL562" s="93"/>
      <c r="AM562" s="93"/>
      <c r="AN562" s="93"/>
      <c r="AO562" s="94"/>
      <c r="AP562" s="91"/>
    </row>
    <row r="563">
      <c r="AL563" s="93"/>
      <c r="AM563" s="93"/>
      <c r="AN563" s="93"/>
      <c r="AO563" s="94"/>
      <c r="AP563" s="91"/>
    </row>
    <row r="564">
      <c r="AL564" s="93"/>
      <c r="AM564" s="93"/>
      <c r="AN564" s="93"/>
      <c r="AO564" s="94"/>
      <c r="AP564" s="91"/>
    </row>
    <row r="565">
      <c r="AL565" s="93"/>
      <c r="AM565" s="93"/>
      <c r="AN565" s="93"/>
      <c r="AO565" s="94"/>
      <c r="AP565" s="91"/>
    </row>
    <row r="566">
      <c r="AL566" s="93"/>
      <c r="AM566" s="93"/>
      <c r="AN566" s="93"/>
      <c r="AO566" s="94"/>
      <c r="AP566" s="91"/>
    </row>
    <row r="567">
      <c r="AL567" s="93"/>
      <c r="AM567" s="93"/>
      <c r="AN567" s="93"/>
      <c r="AO567" s="94"/>
      <c r="AP567" s="91"/>
    </row>
    <row r="568">
      <c r="AL568" s="93"/>
      <c r="AM568" s="93"/>
      <c r="AN568" s="93"/>
      <c r="AO568" s="94"/>
      <c r="AP568" s="91"/>
    </row>
    <row r="569">
      <c r="AL569" s="93"/>
      <c r="AM569" s="93"/>
      <c r="AN569" s="93"/>
      <c r="AO569" s="94"/>
      <c r="AP569" s="91"/>
    </row>
    <row r="570">
      <c r="AL570" s="93"/>
      <c r="AM570" s="93"/>
      <c r="AN570" s="93"/>
      <c r="AO570" s="94"/>
      <c r="AP570" s="91"/>
    </row>
    <row r="571">
      <c r="AL571" s="93"/>
      <c r="AM571" s="93"/>
      <c r="AN571" s="93"/>
      <c r="AO571" s="94"/>
      <c r="AP571" s="91"/>
    </row>
    <row r="572">
      <c r="AL572" s="93"/>
      <c r="AM572" s="93"/>
      <c r="AN572" s="93"/>
      <c r="AO572" s="94"/>
      <c r="AP572" s="91"/>
    </row>
    <row r="573">
      <c r="AL573" s="93"/>
      <c r="AM573" s="93"/>
      <c r="AN573" s="93"/>
      <c r="AO573" s="94"/>
      <c r="AP573" s="91"/>
    </row>
    <row r="574">
      <c r="AL574" s="93"/>
      <c r="AM574" s="93"/>
      <c r="AN574" s="93"/>
      <c r="AO574" s="94"/>
      <c r="AP574" s="91"/>
    </row>
    <row r="575">
      <c r="AL575" s="93"/>
      <c r="AM575" s="93"/>
      <c r="AN575" s="93"/>
      <c r="AO575" s="94"/>
      <c r="AP575" s="91"/>
    </row>
    <row r="576">
      <c r="AL576" s="93"/>
      <c r="AM576" s="93"/>
      <c r="AN576" s="93"/>
      <c r="AO576" s="94"/>
      <c r="AP576" s="91"/>
    </row>
    <row r="577">
      <c r="AL577" s="93"/>
      <c r="AM577" s="93"/>
      <c r="AN577" s="93"/>
      <c r="AO577" s="94"/>
      <c r="AP577" s="91"/>
    </row>
    <row r="578">
      <c r="AL578" s="93"/>
      <c r="AM578" s="93"/>
      <c r="AN578" s="93"/>
      <c r="AO578" s="94"/>
      <c r="AP578" s="91"/>
    </row>
    <row r="579">
      <c r="AL579" s="93"/>
      <c r="AM579" s="93"/>
      <c r="AN579" s="93"/>
      <c r="AO579" s="94"/>
      <c r="AP579" s="91"/>
    </row>
    <row r="580">
      <c r="AL580" s="93"/>
      <c r="AM580" s="93"/>
      <c r="AN580" s="93"/>
      <c r="AO580" s="94"/>
      <c r="AP580" s="91"/>
    </row>
    <row r="581">
      <c r="AL581" s="93"/>
      <c r="AM581" s="93"/>
      <c r="AN581" s="93"/>
      <c r="AO581" s="94"/>
      <c r="AP581" s="91"/>
    </row>
    <row r="582">
      <c r="AL582" s="93"/>
      <c r="AM582" s="93"/>
      <c r="AN582" s="93"/>
      <c r="AO582" s="94"/>
      <c r="AP582" s="91"/>
    </row>
    <row r="583">
      <c r="AL583" s="93"/>
      <c r="AM583" s="93"/>
      <c r="AN583" s="93"/>
      <c r="AO583" s="94"/>
      <c r="AP583" s="91"/>
    </row>
    <row r="584">
      <c r="AL584" s="93"/>
      <c r="AM584" s="93"/>
      <c r="AN584" s="93"/>
      <c r="AO584" s="94"/>
      <c r="AP584" s="91"/>
    </row>
    <row r="585">
      <c r="AL585" s="93"/>
      <c r="AM585" s="93"/>
      <c r="AN585" s="93"/>
      <c r="AO585" s="94"/>
      <c r="AP585" s="91"/>
    </row>
    <row r="586">
      <c r="AL586" s="93"/>
      <c r="AM586" s="93"/>
      <c r="AN586" s="93"/>
      <c r="AO586" s="94"/>
      <c r="AP586" s="91"/>
    </row>
    <row r="587">
      <c r="AL587" s="93"/>
      <c r="AM587" s="93"/>
      <c r="AN587" s="93"/>
      <c r="AO587" s="94"/>
      <c r="AP587" s="91"/>
    </row>
    <row r="588">
      <c r="AL588" s="93"/>
      <c r="AM588" s="93"/>
      <c r="AN588" s="93"/>
      <c r="AO588" s="94"/>
      <c r="AP588" s="91"/>
    </row>
    <row r="589">
      <c r="AL589" s="93"/>
      <c r="AM589" s="93"/>
      <c r="AN589" s="93"/>
      <c r="AO589" s="94"/>
      <c r="AP589" s="91"/>
    </row>
    <row r="590">
      <c r="AL590" s="93"/>
      <c r="AM590" s="93"/>
      <c r="AN590" s="93"/>
      <c r="AO590" s="94"/>
      <c r="AP590" s="91"/>
    </row>
    <row r="591">
      <c r="AL591" s="93"/>
      <c r="AM591" s="93"/>
      <c r="AN591" s="93"/>
      <c r="AO591" s="94"/>
      <c r="AP591" s="91"/>
    </row>
    <row r="592">
      <c r="AL592" s="93"/>
      <c r="AM592" s="93"/>
      <c r="AN592" s="93"/>
      <c r="AO592" s="94"/>
      <c r="AP592" s="91"/>
    </row>
    <row r="593">
      <c r="AL593" s="93"/>
      <c r="AM593" s="93"/>
      <c r="AN593" s="93"/>
      <c r="AO593" s="94"/>
      <c r="AP593" s="91"/>
    </row>
    <row r="594">
      <c r="AL594" s="93"/>
      <c r="AM594" s="93"/>
      <c r="AN594" s="93"/>
      <c r="AO594" s="94"/>
      <c r="AP594" s="91"/>
    </row>
    <row r="595">
      <c r="AL595" s="93"/>
      <c r="AM595" s="93"/>
      <c r="AN595" s="93"/>
      <c r="AO595" s="94"/>
      <c r="AP595" s="91"/>
    </row>
    <row r="596">
      <c r="AL596" s="93"/>
      <c r="AM596" s="93"/>
      <c r="AN596" s="93"/>
      <c r="AO596" s="94"/>
      <c r="AP596" s="91"/>
    </row>
    <row r="597">
      <c r="AL597" s="93"/>
      <c r="AM597" s="93"/>
      <c r="AN597" s="93"/>
      <c r="AO597" s="94"/>
      <c r="AP597" s="91"/>
    </row>
    <row r="598">
      <c r="AL598" s="93"/>
      <c r="AM598" s="93"/>
      <c r="AN598" s="93"/>
      <c r="AO598" s="94"/>
      <c r="AP598" s="91"/>
    </row>
    <row r="599">
      <c r="AL599" s="93"/>
      <c r="AM599" s="93"/>
      <c r="AN599" s="93"/>
      <c r="AO599" s="94"/>
      <c r="AP599" s="91"/>
    </row>
    <row r="600">
      <c r="AL600" s="93"/>
      <c r="AM600" s="93"/>
      <c r="AN600" s="93"/>
      <c r="AO600" s="94"/>
      <c r="AP600" s="91"/>
    </row>
    <row r="601">
      <c r="AL601" s="93"/>
      <c r="AM601" s="93"/>
      <c r="AN601" s="93"/>
      <c r="AO601" s="94"/>
      <c r="AP601" s="91"/>
    </row>
    <row r="602">
      <c r="AL602" s="93"/>
      <c r="AM602" s="93"/>
      <c r="AN602" s="93"/>
      <c r="AO602" s="94"/>
      <c r="AP602" s="91"/>
    </row>
    <row r="603">
      <c r="AL603" s="93"/>
      <c r="AM603" s="93"/>
      <c r="AN603" s="93"/>
      <c r="AO603" s="94"/>
      <c r="AP603" s="91"/>
    </row>
    <row r="604">
      <c r="AL604" s="93"/>
      <c r="AM604" s="93"/>
      <c r="AN604" s="93"/>
      <c r="AO604" s="94"/>
      <c r="AP604" s="91"/>
    </row>
    <row r="605">
      <c r="AL605" s="93"/>
      <c r="AM605" s="93"/>
      <c r="AN605" s="93"/>
      <c r="AO605" s="94"/>
      <c r="AP605" s="91"/>
    </row>
    <row r="606">
      <c r="AL606" s="93"/>
      <c r="AM606" s="93"/>
      <c r="AN606" s="93"/>
      <c r="AO606" s="94"/>
      <c r="AP606" s="91"/>
    </row>
    <row r="607">
      <c r="AL607" s="93"/>
      <c r="AM607" s="93"/>
      <c r="AN607" s="93"/>
      <c r="AO607" s="94"/>
      <c r="AP607" s="91"/>
    </row>
    <row r="608">
      <c r="AL608" s="93"/>
      <c r="AM608" s="93"/>
      <c r="AN608" s="93"/>
      <c r="AO608" s="94"/>
      <c r="AP608" s="91"/>
    </row>
    <row r="609">
      <c r="AL609" s="93"/>
      <c r="AM609" s="93"/>
      <c r="AN609" s="93"/>
      <c r="AO609" s="94"/>
      <c r="AP609" s="91"/>
    </row>
    <row r="610">
      <c r="AL610" s="93"/>
      <c r="AM610" s="93"/>
      <c r="AN610" s="93"/>
      <c r="AO610" s="94"/>
      <c r="AP610" s="91"/>
    </row>
    <row r="611">
      <c r="AL611" s="93"/>
      <c r="AM611" s="93"/>
      <c r="AN611" s="93"/>
      <c r="AO611" s="94"/>
      <c r="AP611" s="91"/>
    </row>
    <row r="612">
      <c r="AL612" s="93"/>
      <c r="AM612" s="93"/>
      <c r="AN612" s="93"/>
      <c r="AO612" s="94"/>
      <c r="AP612" s="91"/>
    </row>
    <row r="613">
      <c r="AL613" s="93"/>
      <c r="AM613" s="93"/>
      <c r="AN613" s="93"/>
      <c r="AO613" s="94"/>
      <c r="AP613" s="91"/>
    </row>
    <row r="614">
      <c r="AL614" s="93"/>
      <c r="AM614" s="93"/>
      <c r="AN614" s="93"/>
      <c r="AO614" s="94"/>
      <c r="AP614" s="91"/>
    </row>
    <row r="615">
      <c r="AL615" s="93"/>
      <c r="AM615" s="93"/>
      <c r="AN615" s="93"/>
      <c r="AO615" s="94"/>
      <c r="AP615" s="91"/>
    </row>
    <row r="616">
      <c r="AL616" s="93"/>
      <c r="AM616" s="93"/>
      <c r="AN616" s="93"/>
      <c r="AO616" s="94"/>
      <c r="AP616" s="91"/>
    </row>
    <row r="617">
      <c r="AL617" s="93"/>
      <c r="AM617" s="93"/>
      <c r="AN617" s="93"/>
      <c r="AO617" s="94"/>
      <c r="AP617" s="91"/>
    </row>
    <row r="618">
      <c r="AL618" s="93"/>
      <c r="AM618" s="93"/>
      <c r="AN618" s="93"/>
      <c r="AO618" s="94"/>
      <c r="AP618" s="91"/>
    </row>
    <row r="619">
      <c r="AL619" s="93"/>
      <c r="AM619" s="93"/>
      <c r="AN619" s="93"/>
      <c r="AO619" s="94"/>
      <c r="AP619" s="91"/>
    </row>
    <row r="620">
      <c r="AL620" s="93"/>
      <c r="AM620" s="93"/>
      <c r="AN620" s="93"/>
      <c r="AO620" s="94"/>
      <c r="AP620" s="91"/>
    </row>
    <row r="621">
      <c r="AL621" s="93"/>
      <c r="AM621" s="93"/>
      <c r="AN621" s="93"/>
      <c r="AO621" s="94"/>
      <c r="AP621" s="91"/>
    </row>
    <row r="622">
      <c r="AL622" s="93"/>
      <c r="AM622" s="93"/>
      <c r="AN622" s="93"/>
      <c r="AO622" s="94"/>
      <c r="AP622" s="91"/>
    </row>
    <row r="623">
      <c r="AL623" s="93"/>
      <c r="AM623" s="93"/>
      <c r="AN623" s="93"/>
      <c r="AO623" s="94"/>
      <c r="AP623" s="91"/>
    </row>
    <row r="624">
      <c r="AL624" s="93"/>
      <c r="AM624" s="93"/>
      <c r="AN624" s="93"/>
      <c r="AO624" s="94"/>
      <c r="AP624" s="91"/>
    </row>
    <row r="625">
      <c r="AL625" s="93"/>
      <c r="AM625" s="93"/>
      <c r="AN625" s="93"/>
      <c r="AO625" s="94"/>
      <c r="AP625" s="91"/>
    </row>
    <row r="626">
      <c r="AL626" s="93"/>
      <c r="AM626" s="93"/>
      <c r="AN626" s="93"/>
      <c r="AO626" s="94"/>
      <c r="AP626" s="91"/>
    </row>
    <row r="627">
      <c r="AL627" s="93"/>
      <c r="AM627" s="93"/>
      <c r="AN627" s="93"/>
      <c r="AO627" s="94"/>
      <c r="AP627" s="91"/>
    </row>
    <row r="628">
      <c r="AL628" s="93"/>
      <c r="AM628" s="93"/>
      <c r="AN628" s="93"/>
      <c r="AO628" s="94"/>
      <c r="AP628" s="91"/>
    </row>
    <row r="629">
      <c r="AL629" s="93"/>
      <c r="AM629" s="93"/>
      <c r="AN629" s="93"/>
      <c r="AO629" s="94"/>
      <c r="AP629" s="91"/>
    </row>
    <row r="630">
      <c r="AL630" s="93"/>
      <c r="AM630" s="93"/>
      <c r="AN630" s="93"/>
      <c r="AO630" s="94"/>
      <c r="AP630" s="91"/>
    </row>
    <row r="631">
      <c r="AL631" s="93"/>
      <c r="AM631" s="93"/>
      <c r="AN631" s="93"/>
      <c r="AO631" s="94"/>
      <c r="AP631" s="91"/>
    </row>
    <row r="632">
      <c r="AL632" s="93"/>
      <c r="AM632" s="93"/>
      <c r="AN632" s="93"/>
      <c r="AO632" s="94"/>
      <c r="AP632" s="91"/>
    </row>
    <row r="633">
      <c r="AL633" s="93"/>
      <c r="AM633" s="93"/>
      <c r="AN633" s="93"/>
      <c r="AO633" s="94"/>
      <c r="AP633" s="91"/>
    </row>
    <row r="634">
      <c r="AL634" s="93"/>
      <c r="AM634" s="93"/>
      <c r="AN634" s="93"/>
      <c r="AO634" s="94"/>
      <c r="AP634" s="91"/>
    </row>
    <row r="635">
      <c r="AL635" s="93"/>
      <c r="AM635" s="93"/>
      <c r="AN635" s="93"/>
      <c r="AO635" s="94"/>
      <c r="AP635" s="91"/>
    </row>
    <row r="636">
      <c r="AL636" s="93"/>
      <c r="AM636" s="93"/>
      <c r="AN636" s="93"/>
      <c r="AO636" s="94"/>
      <c r="AP636" s="91"/>
    </row>
    <row r="637">
      <c r="AL637" s="93"/>
      <c r="AM637" s="93"/>
      <c r="AN637" s="93"/>
      <c r="AO637" s="94"/>
      <c r="AP637" s="91"/>
    </row>
    <row r="638">
      <c r="AL638" s="93"/>
      <c r="AM638" s="93"/>
      <c r="AN638" s="93"/>
      <c r="AO638" s="94"/>
      <c r="AP638" s="91"/>
    </row>
    <row r="639">
      <c r="AL639" s="93"/>
      <c r="AM639" s="93"/>
      <c r="AN639" s="93"/>
      <c r="AO639" s="94"/>
      <c r="AP639" s="91"/>
    </row>
    <row r="640">
      <c r="AL640" s="93"/>
      <c r="AM640" s="93"/>
      <c r="AN640" s="93"/>
      <c r="AO640" s="94"/>
      <c r="AP640" s="91"/>
    </row>
    <row r="641">
      <c r="AL641" s="93"/>
      <c r="AM641" s="93"/>
      <c r="AN641" s="93"/>
      <c r="AO641" s="94"/>
      <c r="AP641" s="91"/>
    </row>
    <row r="642">
      <c r="AL642" s="93"/>
      <c r="AM642" s="93"/>
      <c r="AN642" s="93"/>
      <c r="AO642" s="94"/>
      <c r="AP642" s="91"/>
    </row>
    <row r="643">
      <c r="AL643" s="93"/>
      <c r="AM643" s="93"/>
      <c r="AN643" s="93"/>
      <c r="AO643" s="94"/>
      <c r="AP643" s="91"/>
    </row>
    <row r="644">
      <c r="AL644" s="93"/>
      <c r="AM644" s="93"/>
      <c r="AN644" s="93"/>
      <c r="AO644" s="94"/>
      <c r="AP644" s="91"/>
    </row>
    <row r="645">
      <c r="AL645" s="93"/>
      <c r="AM645" s="93"/>
      <c r="AN645" s="93"/>
      <c r="AO645" s="94"/>
      <c r="AP645" s="91"/>
    </row>
    <row r="646">
      <c r="AL646" s="93"/>
      <c r="AM646" s="93"/>
      <c r="AN646" s="93"/>
      <c r="AO646" s="94"/>
      <c r="AP646" s="91"/>
    </row>
    <row r="647">
      <c r="AL647" s="93"/>
      <c r="AM647" s="93"/>
      <c r="AN647" s="93"/>
      <c r="AO647" s="94"/>
      <c r="AP647" s="91"/>
    </row>
    <row r="648">
      <c r="AL648" s="93"/>
      <c r="AM648" s="93"/>
      <c r="AN648" s="93"/>
      <c r="AO648" s="94"/>
      <c r="AP648" s="91"/>
    </row>
    <row r="649">
      <c r="AL649" s="93"/>
      <c r="AM649" s="93"/>
      <c r="AN649" s="93"/>
      <c r="AO649" s="94"/>
      <c r="AP649" s="91"/>
    </row>
    <row r="650">
      <c r="AL650" s="93"/>
      <c r="AM650" s="93"/>
      <c r="AN650" s="93"/>
      <c r="AO650" s="94"/>
      <c r="AP650" s="91"/>
    </row>
    <row r="651">
      <c r="AL651" s="93"/>
      <c r="AM651" s="93"/>
      <c r="AN651" s="93"/>
      <c r="AO651" s="94"/>
      <c r="AP651" s="91"/>
    </row>
    <row r="652">
      <c r="AL652" s="93"/>
      <c r="AM652" s="93"/>
      <c r="AN652" s="93"/>
      <c r="AO652" s="94"/>
      <c r="AP652" s="91"/>
    </row>
    <row r="653">
      <c r="AL653" s="93"/>
      <c r="AM653" s="93"/>
      <c r="AN653" s="93"/>
      <c r="AO653" s="94"/>
      <c r="AP653" s="91"/>
    </row>
    <row r="654">
      <c r="AL654" s="93"/>
      <c r="AM654" s="93"/>
      <c r="AN654" s="93"/>
      <c r="AO654" s="94"/>
      <c r="AP654" s="91"/>
    </row>
    <row r="655">
      <c r="AL655" s="93"/>
      <c r="AM655" s="93"/>
      <c r="AN655" s="93"/>
      <c r="AO655" s="94"/>
      <c r="AP655" s="91"/>
    </row>
    <row r="656">
      <c r="AL656" s="93"/>
      <c r="AM656" s="93"/>
      <c r="AN656" s="93"/>
      <c r="AO656" s="94"/>
      <c r="AP656" s="91"/>
    </row>
    <row r="657">
      <c r="AL657" s="93"/>
      <c r="AM657" s="93"/>
      <c r="AN657" s="93"/>
      <c r="AO657" s="94"/>
      <c r="AP657" s="91"/>
    </row>
    <row r="658">
      <c r="AL658" s="93"/>
      <c r="AM658" s="93"/>
      <c r="AN658" s="93"/>
      <c r="AO658" s="94"/>
      <c r="AP658" s="91"/>
    </row>
    <row r="659">
      <c r="AL659" s="93"/>
      <c r="AM659" s="93"/>
      <c r="AN659" s="93"/>
      <c r="AO659" s="94"/>
      <c r="AP659" s="91"/>
    </row>
    <row r="660">
      <c r="AL660" s="93"/>
      <c r="AM660" s="93"/>
      <c r="AN660" s="93"/>
      <c r="AO660" s="94"/>
      <c r="AP660" s="91"/>
    </row>
    <row r="661">
      <c r="AL661" s="93"/>
      <c r="AM661" s="93"/>
      <c r="AN661" s="93"/>
      <c r="AO661" s="94"/>
      <c r="AP661" s="91"/>
    </row>
    <row r="662">
      <c r="AL662" s="93"/>
      <c r="AM662" s="93"/>
      <c r="AN662" s="93"/>
      <c r="AO662" s="94"/>
      <c r="AP662" s="91"/>
    </row>
    <row r="663">
      <c r="AL663" s="93"/>
      <c r="AM663" s="93"/>
      <c r="AN663" s="93"/>
      <c r="AO663" s="94"/>
      <c r="AP663" s="91"/>
    </row>
    <row r="664">
      <c r="AL664" s="93"/>
      <c r="AM664" s="93"/>
      <c r="AN664" s="93"/>
      <c r="AO664" s="94"/>
      <c r="AP664" s="91"/>
    </row>
    <row r="665">
      <c r="AL665" s="93"/>
      <c r="AM665" s="93"/>
      <c r="AN665" s="93"/>
      <c r="AO665" s="94"/>
      <c r="AP665" s="91"/>
    </row>
    <row r="666">
      <c r="AL666" s="93"/>
      <c r="AM666" s="93"/>
      <c r="AN666" s="93"/>
      <c r="AO666" s="94"/>
      <c r="AP666" s="91"/>
    </row>
    <row r="667">
      <c r="AL667" s="93"/>
      <c r="AM667" s="93"/>
      <c r="AN667" s="93"/>
      <c r="AO667" s="94"/>
      <c r="AP667" s="91"/>
    </row>
    <row r="668">
      <c r="AL668" s="93"/>
      <c r="AM668" s="93"/>
      <c r="AN668" s="93"/>
      <c r="AO668" s="94"/>
      <c r="AP668" s="91"/>
    </row>
    <row r="669">
      <c r="AL669" s="93"/>
      <c r="AM669" s="93"/>
      <c r="AN669" s="93"/>
      <c r="AO669" s="94"/>
      <c r="AP669" s="91"/>
    </row>
    <row r="670">
      <c r="AL670" s="93"/>
      <c r="AM670" s="93"/>
      <c r="AN670" s="93"/>
      <c r="AO670" s="94"/>
      <c r="AP670" s="91"/>
    </row>
    <row r="671">
      <c r="AL671" s="93"/>
      <c r="AM671" s="93"/>
      <c r="AN671" s="93"/>
      <c r="AO671" s="94"/>
      <c r="AP671" s="91"/>
    </row>
    <row r="672">
      <c r="AL672" s="93"/>
      <c r="AM672" s="93"/>
      <c r="AN672" s="93"/>
      <c r="AO672" s="94"/>
      <c r="AP672" s="91"/>
    </row>
    <row r="673">
      <c r="AL673" s="93"/>
      <c r="AM673" s="93"/>
      <c r="AN673" s="93"/>
      <c r="AO673" s="94"/>
      <c r="AP673" s="91"/>
    </row>
    <row r="674">
      <c r="AL674" s="93"/>
      <c r="AM674" s="93"/>
      <c r="AN674" s="93"/>
      <c r="AO674" s="94"/>
      <c r="AP674" s="91"/>
    </row>
    <row r="675">
      <c r="AL675" s="93"/>
      <c r="AM675" s="93"/>
      <c r="AN675" s="93"/>
      <c r="AO675" s="94"/>
      <c r="AP675" s="91"/>
    </row>
    <row r="676">
      <c r="AL676" s="93"/>
      <c r="AM676" s="93"/>
      <c r="AN676" s="93"/>
      <c r="AO676" s="94"/>
      <c r="AP676" s="91"/>
    </row>
    <row r="677">
      <c r="AL677" s="93"/>
      <c r="AM677" s="93"/>
      <c r="AN677" s="93"/>
      <c r="AO677" s="94"/>
      <c r="AP677" s="91"/>
    </row>
    <row r="678">
      <c r="AL678" s="93"/>
      <c r="AM678" s="93"/>
      <c r="AN678" s="93"/>
      <c r="AO678" s="94"/>
      <c r="AP678" s="91"/>
    </row>
    <row r="679">
      <c r="AL679" s="93"/>
      <c r="AM679" s="93"/>
      <c r="AN679" s="93"/>
      <c r="AO679" s="94"/>
      <c r="AP679" s="91"/>
    </row>
    <row r="680">
      <c r="AL680" s="93"/>
      <c r="AM680" s="93"/>
      <c r="AN680" s="93"/>
      <c r="AO680" s="94"/>
      <c r="AP680" s="91"/>
    </row>
    <row r="681">
      <c r="AL681" s="93"/>
      <c r="AM681" s="93"/>
      <c r="AN681" s="93"/>
      <c r="AO681" s="94"/>
      <c r="AP681" s="91"/>
    </row>
    <row r="682">
      <c r="AL682" s="93"/>
      <c r="AM682" s="93"/>
      <c r="AN682" s="93"/>
      <c r="AO682" s="94"/>
      <c r="AP682" s="91"/>
    </row>
    <row r="683">
      <c r="AL683" s="93"/>
      <c r="AM683" s="93"/>
      <c r="AN683" s="93"/>
      <c r="AO683" s="94"/>
      <c r="AP683" s="91"/>
    </row>
    <row r="684">
      <c r="AL684" s="93"/>
      <c r="AM684" s="93"/>
      <c r="AN684" s="93"/>
      <c r="AO684" s="94"/>
      <c r="AP684" s="91"/>
    </row>
    <row r="685">
      <c r="AL685" s="93"/>
      <c r="AM685" s="93"/>
      <c r="AN685" s="93"/>
      <c r="AO685" s="94"/>
      <c r="AP685" s="91"/>
    </row>
    <row r="686">
      <c r="AL686" s="93"/>
      <c r="AM686" s="93"/>
      <c r="AN686" s="93"/>
      <c r="AO686" s="94"/>
      <c r="AP686" s="91"/>
    </row>
    <row r="687">
      <c r="AL687" s="93"/>
      <c r="AM687" s="93"/>
      <c r="AN687" s="93"/>
      <c r="AO687" s="94"/>
      <c r="AP687" s="91"/>
    </row>
    <row r="688">
      <c r="AL688" s="93"/>
      <c r="AM688" s="93"/>
      <c r="AN688" s="93"/>
      <c r="AO688" s="94"/>
      <c r="AP688" s="91"/>
    </row>
    <row r="689">
      <c r="AL689" s="93"/>
      <c r="AM689" s="93"/>
      <c r="AN689" s="93"/>
      <c r="AO689" s="94"/>
      <c r="AP689" s="91"/>
    </row>
    <row r="690">
      <c r="AL690" s="93"/>
      <c r="AM690" s="93"/>
      <c r="AN690" s="93"/>
      <c r="AO690" s="94"/>
      <c r="AP690" s="91"/>
    </row>
    <row r="691">
      <c r="AL691" s="93"/>
      <c r="AM691" s="93"/>
      <c r="AN691" s="93"/>
      <c r="AO691" s="94"/>
      <c r="AP691" s="91"/>
    </row>
    <row r="692">
      <c r="AL692" s="93"/>
      <c r="AM692" s="93"/>
      <c r="AN692" s="93"/>
      <c r="AO692" s="94"/>
      <c r="AP692" s="91"/>
    </row>
    <row r="693">
      <c r="AL693" s="93"/>
      <c r="AM693" s="93"/>
      <c r="AN693" s="93"/>
      <c r="AO693" s="94"/>
      <c r="AP693" s="91"/>
    </row>
    <row r="694">
      <c r="AL694" s="93"/>
      <c r="AM694" s="93"/>
      <c r="AN694" s="93"/>
      <c r="AO694" s="94"/>
      <c r="AP694" s="91"/>
    </row>
    <row r="695">
      <c r="AL695" s="93"/>
      <c r="AM695" s="93"/>
      <c r="AN695" s="93"/>
      <c r="AO695" s="94"/>
      <c r="AP695" s="91"/>
    </row>
    <row r="696">
      <c r="AL696" s="93"/>
      <c r="AM696" s="93"/>
      <c r="AN696" s="93"/>
      <c r="AO696" s="94"/>
      <c r="AP696" s="91"/>
    </row>
    <row r="697">
      <c r="AL697" s="93"/>
      <c r="AM697" s="93"/>
      <c r="AN697" s="93"/>
      <c r="AO697" s="94"/>
      <c r="AP697" s="91"/>
    </row>
    <row r="698">
      <c r="AL698" s="93"/>
      <c r="AM698" s="93"/>
      <c r="AN698" s="93"/>
      <c r="AO698" s="94"/>
      <c r="AP698" s="91"/>
    </row>
    <row r="699">
      <c r="AL699" s="93"/>
      <c r="AM699" s="93"/>
      <c r="AN699" s="93"/>
      <c r="AO699" s="94"/>
      <c r="AP699" s="91"/>
    </row>
    <row r="700">
      <c r="AL700" s="93"/>
      <c r="AM700" s="93"/>
      <c r="AN700" s="93"/>
      <c r="AO700" s="94"/>
      <c r="AP700" s="91"/>
    </row>
    <row r="701">
      <c r="AL701" s="93"/>
      <c r="AM701" s="93"/>
      <c r="AN701" s="93"/>
      <c r="AO701" s="94"/>
      <c r="AP701" s="91"/>
    </row>
    <row r="702">
      <c r="AL702" s="93"/>
      <c r="AM702" s="93"/>
      <c r="AN702" s="93"/>
      <c r="AO702" s="94"/>
      <c r="AP702" s="91"/>
    </row>
    <row r="703">
      <c r="AL703" s="93"/>
      <c r="AM703" s="93"/>
      <c r="AN703" s="93"/>
      <c r="AO703" s="94"/>
      <c r="AP703" s="91"/>
    </row>
    <row r="704">
      <c r="AL704" s="93"/>
      <c r="AM704" s="93"/>
      <c r="AN704" s="93"/>
      <c r="AO704" s="94"/>
      <c r="AP704" s="91"/>
    </row>
    <row r="705">
      <c r="AL705" s="93"/>
      <c r="AM705" s="93"/>
      <c r="AN705" s="93"/>
      <c r="AO705" s="94"/>
      <c r="AP705" s="91"/>
    </row>
    <row r="706">
      <c r="AL706" s="93"/>
      <c r="AM706" s="93"/>
      <c r="AN706" s="93"/>
      <c r="AO706" s="94"/>
      <c r="AP706" s="91"/>
    </row>
    <row r="707">
      <c r="AL707" s="93"/>
      <c r="AM707" s="93"/>
      <c r="AN707" s="93"/>
      <c r="AO707" s="94"/>
      <c r="AP707" s="91"/>
    </row>
    <row r="708">
      <c r="AL708" s="93"/>
      <c r="AM708" s="93"/>
      <c r="AN708" s="93"/>
      <c r="AO708" s="94"/>
      <c r="AP708" s="91"/>
    </row>
    <row r="709">
      <c r="AL709" s="93"/>
      <c r="AM709" s="93"/>
      <c r="AN709" s="93"/>
      <c r="AO709" s="94"/>
      <c r="AP709" s="91"/>
    </row>
    <row r="710">
      <c r="AL710" s="93"/>
      <c r="AM710" s="93"/>
      <c r="AN710" s="93"/>
      <c r="AO710" s="94"/>
      <c r="AP710" s="91"/>
    </row>
    <row r="711">
      <c r="AL711" s="93"/>
      <c r="AM711" s="93"/>
      <c r="AN711" s="93"/>
      <c r="AO711" s="94"/>
      <c r="AP711" s="91"/>
    </row>
    <row r="712">
      <c r="AL712" s="93"/>
      <c r="AM712" s="93"/>
      <c r="AN712" s="93"/>
      <c r="AO712" s="94"/>
      <c r="AP712" s="91"/>
    </row>
    <row r="713">
      <c r="AL713" s="93"/>
      <c r="AM713" s="93"/>
      <c r="AN713" s="93"/>
      <c r="AO713" s="94"/>
      <c r="AP713" s="91"/>
    </row>
    <row r="714">
      <c r="AL714" s="93"/>
      <c r="AM714" s="93"/>
      <c r="AN714" s="93"/>
      <c r="AO714" s="94"/>
      <c r="AP714" s="91"/>
    </row>
    <row r="715">
      <c r="AL715" s="93"/>
      <c r="AM715" s="93"/>
      <c r="AN715" s="93"/>
      <c r="AO715" s="94"/>
      <c r="AP715" s="91"/>
    </row>
    <row r="716">
      <c r="AL716" s="93"/>
      <c r="AM716" s="93"/>
      <c r="AN716" s="93"/>
      <c r="AO716" s="94"/>
      <c r="AP716" s="91"/>
    </row>
    <row r="717">
      <c r="AL717" s="93"/>
      <c r="AM717" s="93"/>
      <c r="AN717" s="93"/>
      <c r="AO717" s="94"/>
      <c r="AP717" s="91"/>
    </row>
    <row r="718">
      <c r="AL718" s="93"/>
      <c r="AM718" s="93"/>
      <c r="AN718" s="93"/>
      <c r="AO718" s="94"/>
      <c r="AP718" s="91"/>
    </row>
    <row r="719">
      <c r="AL719" s="93"/>
      <c r="AM719" s="93"/>
      <c r="AN719" s="93"/>
      <c r="AO719" s="94"/>
      <c r="AP719" s="91"/>
    </row>
    <row r="720">
      <c r="AL720" s="93"/>
      <c r="AM720" s="93"/>
      <c r="AN720" s="93"/>
      <c r="AO720" s="94"/>
      <c r="AP720" s="91"/>
    </row>
    <row r="721">
      <c r="AL721" s="93"/>
      <c r="AM721" s="93"/>
      <c r="AN721" s="93"/>
      <c r="AO721" s="94"/>
      <c r="AP721" s="91"/>
    </row>
    <row r="722">
      <c r="AL722" s="93"/>
      <c r="AM722" s="93"/>
      <c r="AN722" s="93"/>
      <c r="AO722" s="94"/>
      <c r="AP722" s="91"/>
    </row>
    <row r="723">
      <c r="AL723" s="93"/>
      <c r="AM723" s="93"/>
      <c r="AN723" s="93"/>
      <c r="AO723" s="94"/>
      <c r="AP723" s="91"/>
    </row>
    <row r="724">
      <c r="AL724" s="93"/>
      <c r="AM724" s="93"/>
      <c r="AN724" s="93"/>
      <c r="AO724" s="94"/>
      <c r="AP724" s="91"/>
    </row>
    <row r="725">
      <c r="AL725" s="93"/>
      <c r="AM725" s="93"/>
      <c r="AN725" s="93"/>
      <c r="AO725" s="94"/>
      <c r="AP725" s="91"/>
    </row>
    <row r="726">
      <c r="AL726" s="93"/>
      <c r="AM726" s="93"/>
      <c r="AN726" s="93"/>
      <c r="AO726" s="94"/>
      <c r="AP726" s="91"/>
    </row>
    <row r="727">
      <c r="AL727" s="93"/>
      <c r="AM727" s="93"/>
      <c r="AN727" s="93"/>
      <c r="AO727" s="94"/>
      <c r="AP727" s="91"/>
    </row>
    <row r="728">
      <c r="AL728" s="93"/>
      <c r="AM728" s="93"/>
      <c r="AN728" s="93"/>
      <c r="AO728" s="94"/>
      <c r="AP728" s="91"/>
    </row>
    <row r="729">
      <c r="AL729" s="93"/>
      <c r="AM729" s="93"/>
      <c r="AN729" s="93"/>
      <c r="AO729" s="94"/>
      <c r="AP729" s="91"/>
    </row>
    <row r="730">
      <c r="AL730" s="93"/>
      <c r="AM730" s="93"/>
      <c r="AN730" s="93"/>
      <c r="AO730" s="94"/>
      <c r="AP730" s="91"/>
    </row>
    <row r="731">
      <c r="AL731" s="93"/>
      <c r="AM731" s="93"/>
      <c r="AN731" s="93"/>
      <c r="AO731" s="94"/>
      <c r="AP731" s="91"/>
    </row>
    <row r="732">
      <c r="AL732" s="93"/>
      <c r="AM732" s="93"/>
      <c r="AN732" s="93"/>
      <c r="AO732" s="94"/>
      <c r="AP732" s="91"/>
    </row>
    <row r="733">
      <c r="AL733" s="93"/>
      <c r="AM733" s="93"/>
      <c r="AN733" s="93"/>
      <c r="AO733" s="94"/>
      <c r="AP733" s="91"/>
    </row>
    <row r="734">
      <c r="AL734" s="93"/>
      <c r="AM734" s="93"/>
      <c r="AN734" s="93"/>
      <c r="AO734" s="94"/>
      <c r="AP734" s="91"/>
    </row>
    <row r="735">
      <c r="AL735" s="93"/>
      <c r="AM735" s="93"/>
      <c r="AN735" s="93"/>
      <c r="AO735" s="94"/>
      <c r="AP735" s="91"/>
    </row>
    <row r="736">
      <c r="AL736" s="93"/>
      <c r="AM736" s="93"/>
      <c r="AN736" s="93"/>
      <c r="AO736" s="94"/>
      <c r="AP736" s="91"/>
    </row>
    <row r="737">
      <c r="AL737" s="93"/>
      <c r="AM737" s="93"/>
      <c r="AN737" s="93"/>
      <c r="AO737" s="94"/>
      <c r="AP737" s="91"/>
    </row>
    <row r="738">
      <c r="AL738" s="93"/>
      <c r="AM738" s="93"/>
      <c r="AN738" s="93"/>
      <c r="AO738" s="94"/>
      <c r="AP738" s="91"/>
    </row>
    <row r="739">
      <c r="AL739" s="93"/>
      <c r="AM739" s="93"/>
      <c r="AN739" s="93"/>
      <c r="AO739" s="94"/>
      <c r="AP739" s="91"/>
    </row>
    <row r="740">
      <c r="AL740" s="93"/>
      <c r="AM740" s="93"/>
      <c r="AN740" s="93"/>
      <c r="AO740" s="94"/>
      <c r="AP740" s="91"/>
    </row>
    <row r="741">
      <c r="AL741" s="93"/>
      <c r="AM741" s="93"/>
      <c r="AN741" s="93"/>
      <c r="AO741" s="94"/>
      <c r="AP741" s="91"/>
    </row>
    <row r="742">
      <c r="AL742" s="93"/>
      <c r="AM742" s="93"/>
      <c r="AN742" s="93"/>
      <c r="AO742" s="94"/>
      <c r="AP742" s="91"/>
    </row>
    <row r="743">
      <c r="AL743" s="93"/>
      <c r="AM743" s="93"/>
      <c r="AN743" s="93"/>
      <c r="AO743" s="94"/>
      <c r="AP743" s="91"/>
    </row>
    <row r="744">
      <c r="AL744" s="93"/>
      <c r="AM744" s="93"/>
      <c r="AN744" s="93"/>
      <c r="AO744" s="94"/>
      <c r="AP744" s="91"/>
    </row>
    <row r="745">
      <c r="AL745" s="93"/>
      <c r="AM745" s="93"/>
      <c r="AN745" s="93"/>
      <c r="AO745" s="94"/>
      <c r="AP745" s="91"/>
    </row>
    <row r="746">
      <c r="AL746" s="93"/>
      <c r="AM746" s="93"/>
      <c r="AN746" s="93"/>
      <c r="AO746" s="94"/>
      <c r="AP746" s="91"/>
    </row>
    <row r="747">
      <c r="AL747" s="93"/>
      <c r="AM747" s="93"/>
      <c r="AN747" s="93"/>
      <c r="AO747" s="94"/>
      <c r="AP747" s="91"/>
    </row>
    <row r="748">
      <c r="AL748" s="93"/>
      <c r="AM748" s="93"/>
      <c r="AN748" s="93"/>
      <c r="AO748" s="94"/>
      <c r="AP748" s="91"/>
    </row>
    <row r="749">
      <c r="AL749" s="93"/>
      <c r="AM749" s="93"/>
      <c r="AN749" s="93"/>
      <c r="AO749" s="94"/>
      <c r="AP749" s="91"/>
    </row>
    <row r="750">
      <c r="AL750" s="93"/>
      <c r="AM750" s="93"/>
      <c r="AN750" s="93"/>
      <c r="AO750" s="94"/>
      <c r="AP750" s="91"/>
    </row>
    <row r="751">
      <c r="AL751" s="93"/>
      <c r="AM751" s="93"/>
      <c r="AN751" s="93"/>
      <c r="AO751" s="94"/>
      <c r="AP751" s="91"/>
    </row>
    <row r="752">
      <c r="AL752" s="93"/>
      <c r="AM752" s="93"/>
      <c r="AN752" s="93"/>
      <c r="AO752" s="94"/>
      <c r="AP752" s="91"/>
    </row>
    <row r="753">
      <c r="AL753" s="93"/>
      <c r="AM753" s="93"/>
      <c r="AN753" s="93"/>
      <c r="AO753" s="94"/>
      <c r="AP753" s="91"/>
    </row>
    <row r="754">
      <c r="AL754" s="93"/>
      <c r="AM754" s="93"/>
      <c r="AN754" s="93"/>
      <c r="AO754" s="94"/>
      <c r="AP754" s="91"/>
    </row>
    <row r="755">
      <c r="AL755" s="93"/>
      <c r="AM755" s="93"/>
      <c r="AN755" s="93"/>
      <c r="AO755" s="94"/>
      <c r="AP755" s="91"/>
    </row>
    <row r="756">
      <c r="AL756" s="93"/>
      <c r="AM756" s="93"/>
      <c r="AN756" s="93"/>
      <c r="AO756" s="94"/>
      <c r="AP756" s="91"/>
    </row>
    <row r="757">
      <c r="AL757" s="93"/>
      <c r="AM757" s="93"/>
      <c r="AN757" s="93"/>
      <c r="AO757" s="94"/>
      <c r="AP757" s="91"/>
    </row>
    <row r="758">
      <c r="AL758" s="93"/>
      <c r="AM758" s="93"/>
      <c r="AN758" s="93"/>
      <c r="AO758" s="94"/>
      <c r="AP758" s="91"/>
    </row>
    <row r="759">
      <c r="AL759" s="93"/>
      <c r="AM759" s="93"/>
      <c r="AN759" s="93"/>
      <c r="AO759" s="94"/>
      <c r="AP759" s="91"/>
    </row>
    <row r="760">
      <c r="AL760" s="93"/>
      <c r="AM760" s="93"/>
      <c r="AN760" s="93"/>
      <c r="AO760" s="94"/>
      <c r="AP760" s="91"/>
    </row>
    <row r="761">
      <c r="AL761" s="93"/>
      <c r="AM761" s="93"/>
      <c r="AN761" s="93"/>
      <c r="AO761" s="94"/>
      <c r="AP761" s="91"/>
    </row>
    <row r="762">
      <c r="AL762" s="93"/>
      <c r="AM762" s="93"/>
      <c r="AN762" s="93"/>
      <c r="AO762" s="94"/>
      <c r="AP762" s="91"/>
    </row>
    <row r="763">
      <c r="AL763" s="93"/>
      <c r="AM763" s="93"/>
      <c r="AN763" s="93"/>
      <c r="AO763" s="94"/>
      <c r="AP763" s="91"/>
    </row>
    <row r="764">
      <c r="AL764" s="93"/>
      <c r="AM764" s="93"/>
      <c r="AN764" s="93"/>
      <c r="AO764" s="94"/>
      <c r="AP764" s="91"/>
    </row>
    <row r="765">
      <c r="AL765" s="93"/>
      <c r="AM765" s="93"/>
      <c r="AN765" s="93"/>
      <c r="AO765" s="94"/>
      <c r="AP765" s="91"/>
    </row>
    <row r="766">
      <c r="AL766" s="93"/>
      <c r="AM766" s="93"/>
      <c r="AN766" s="93"/>
      <c r="AO766" s="94"/>
      <c r="AP766" s="91"/>
    </row>
    <row r="767">
      <c r="AL767" s="93"/>
      <c r="AM767" s="93"/>
      <c r="AN767" s="93"/>
      <c r="AO767" s="94"/>
      <c r="AP767" s="91"/>
    </row>
    <row r="768">
      <c r="AL768" s="93"/>
      <c r="AM768" s="93"/>
      <c r="AN768" s="93"/>
      <c r="AO768" s="94"/>
      <c r="AP768" s="91"/>
    </row>
    <row r="769">
      <c r="AL769" s="93"/>
      <c r="AM769" s="93"/>
      <c r="AN769" s="93"/>
      <c r="AO769" s="94"/>
      <c r="AP769" s="91"/>
    </row>
    <row r="770">
      <c r="AL770" s="93"/>
      <c r="AM770" s="93"/>
      <c r="AN770" s="93"/>
      <c r="AO770" s="94"/>
      <c r="AP770" s="91"/>
    </row>
    <row r="771">
      <c r="AL771" s="93"/>
      <c r="AM771" s="93"/>
      <c r="AN771" s="93"/>
      <c r="AO771" s="94"/>
      <c r="AP771" s="91"/>
    </row>
    <row r="772">
      <c r="AL772" s="93"/>
      <c r="AM772" s="93"/>
      <c r="AN772" s="93"/>
      <c r="AO772" s="94"/>
      <c r="AP772" s="91"/>
    </row>
    <row r="773">
      <c r="AL773" s="93"/>
      <c r="AM773" s="93"/>
      <c r="AN773" s="93"/>
      <c r="AO773" s="94"/>
      <c r="AP773" s="91"/>
    </row>
    <row r="774">
      <c r="AL774" s="93"/>
      <c r="AM774" s="93"/>
      <c r="AN774" s="93"/>
      <c r="AO774" s="94"/>
      <c r="AP774" s="91"/>
    </row>
    <row r="775">
      <c r="AL775" s="93"/>
      <c r="AM775" s="93"/>
      <c r="AN775" s="93"/>
      <c r="AO775" s="94"/>
      <c r="AP775" s="91"/>
    </row>
    <row r="776">
      <c r="AL776" s="93"/>
      <c r="AM776" s="93"/>
      <c r="AN776" s="93"/>
      <c r="AO776" s="94"/>
      <c r="AP776" s="91"/>
    </row>
    <row r="777">
      <c r="AL777" s="93"/>
      <c r="AM777" s="93"/>
      <c r="AN777" s="93"/>
      <c r="AO777" s="94"/>
      <c r="AP777" s="91"/>
    </row>
    <row r="778">
      <c r="AL778" s="93"/>
      <c r="AM778" s="93"/>
      <c r="AN778" s="93"/>
      <c r="AO778" s="94"/>
      <c r="AP778" s="91"/>
    </row>
    <row r="779">
      <c r="AL779" s="93"/>
      <c r="AM779" s="93"/>
      <c r="AN779" s="93"/>
      <c r="AO779" s="94"/>
      <c r="AP779" s="91"/>
    </row>
    <row r="780">
      <c r="AL780" s="93"/>
      <c r="AM780" s="93"/>
      <c r="AN780" s="93"/>
      <c r="AO780" s="94"/>
      <c r="AP780" s="91"/>
    </row>
    <row r="781">
      <c r="AL781" s="93"/>
      <c r="AM781" s="93"/>
      <c r="AN781" s="93"/>
      <c r="AO781" s="94"/>
      <c r="AP781" s="91"/>
    </row>
    <row r="782">
      <c r="AL782" s="93"/>
      <c r="AM782" s="93"/>
      <c r="AN782" s="93"/>
      <c r="AO782" s="94"/>
      <c r="AP782" s="91"/>
    </row>
    <row r="783">
      <c r="AL783" s="93"/>
      <c r="AM783" s="93"/>
      <c r="AN783" s="93"/>
      <c r="AO783" s="94"/>
      <c r="AP783" s="91"/>
    </row>
    <row r="784">
      <c r="AL784" s="93"/>
      <c r="AM784" s="93"/>
      <c r="AN784" s="93"/>
      <c r="AO784" s="94"/>
      <c r="AP784" s="91"/>
    </row>
    <row r="785">
      <c r="AL785" s="93"/>
      <c r="AM785" s="93"/>
      <c r="AN785" s="93"/>
      <c r="AO785" s="94"/>
      <c r="AP785" s="91"/>
    </row>
    <row r="786">
      <c r="AL786" s="93"/>
      <c r="AM786" s="93"/>
      <c r="AN786" s="93"/>
      <c r="AO786" s="94"/>
      <c r="AP786" s="91"/>
    </row>
    <row r="787">
      <c r="AL787" s="93"/>
      <c r="AM787" s="93"/>
      <c r="AN787" s="93"/>
      <c r="AO787" s="94"/>
      <c r="AP787" s="91"/>
    </row>
    <row r="788">
      <c r="AL788" s="93"/>
      <c r="AM788" s="93"/>
      <c r="AN788" s="93"/>
      <c r="AO788" s="94"/>
      <c r="AP788" s="91"/>
    </row>
    <row r="789">
      <c r="AL789" s="93"/>
      <c r="AM789" s="93"/>
      <c r="AN789" s="93"/>
      <c r="AO789" s="94"/>
      <c r="AP789" s="91"/>
    </row>
    <row r="790">
      <c r="AL790" s="93"/>
      <c r="AM790" s="93"/>
      <c r="AN790" s="93"/>
      <c r="AO790" s="94"/>
      <c r="AP790" s="91"/>
    </row>
    <row r="791">
      <c r="AL791" s="93"/>
      <c r="AM791" s="93"/>
      <c r="AN791" s="93"/>
      <c r="AO791" s="94"/>
      <c r="AP791" s="91"/>
    </row>
    <row r="792">
      <c r="AL792" s="93"/>
      <c r="AM792" s="93"/>
      <c r="AN792" s="93"/>
      <c r="AO792" s="94"/>
      <c r="AP792" s="91"/>
    </row>
    <row r="793">
      <c r="AL793" s="93"/>
      <c r="AM793" s="93"/>
      <c r="AN793" s="93"/>
      <c r="AO793" s="94"/>
      <c r="AP793" s="91"/>
    </row>
    <row r="794">
      <c r="AL794" s="93"/>
      <c r="AM794" s="93"/>
      <c r="AN794" s="93"/>
      <c r="AO794" s="94"/>
      <c r="AP794" s="91"/>
    </row>
    <row r="795">
      <c r="AL795" s="93"/>
      <c r="AM795" s="93"/>
      <c r="AN795" s="93"/>
      <c r="AO795" s="94"/>
      <c r="AP795" s="91"/>
    </row>
    <row r="796">
      <c r="AL796" s="93"/>
      <c r="AM796" s="93"/>
      <c r="AN796" s="93"/>
      <c r="AO796" s="94"/>
      <c r="AP796" s="91"/>
    </row>
    <row r="797">
      <c r="AL797" s="93"/>
      <c r="AM797" s="93"/>
      <c r="AN797" s="93"/>
      <c r="AO797" s="94"/>
      <c r="AP797" s="91"/>
    </row>
    <row r="798">
      <c r="AL798" s="93"/>
      <c r="AM798" s="93"/>
      <c r="AN798" s="93"/>
      <c r="AO798" s="94"/>
      <c r="AP798" s="91"/>
    </row>
    <row r="799">
      <c r="AL799" s="93"/>
      <c r="AM799" s="93"/>
      <c r="AN799" s="93"/>
      <c r="AO799" s="94"/>
      <c r="AP799" s="91"/>
    </row>
    <row r="800">
      <c r="AL800" s="93"/>
      <c r="AM800" s="93"/>
      <c r="AN800" s="93"/>
      <c r="AO800" s="94"/>
      <c r="AP800" s="91"/>
    </row>
    <row r="801">
      <c r="AL801" s="93"/>
      <c r="AM801" s="93"/>
      <c r="AN801" s="93"/>
      <c r="AO801" s="94"/>
      <c r="AP801" s="91"/>
    </row>
    <row r="802">
      <c r="AL802" s="93"/>
      <c r="AM802" s="93"/>
      <c r="AN802" s="93"/>
      <c r="AO802" s="94"/>
      <c r="AP802" s="91"/>
    </row>
    <row r="803">
      <c r="AL803" s="93"/>
      <c r="AM803" s="93"/>
      <c r="AN803" s="93"/>
      <c r="AO803" s="94"/>
      <c r="AP803" s="91"/>
    </row>
    <row r="804">
      <c r="AL804" s="93"/>
      <c r="AM804" s="93"/>
      <c r="AN804" s="93"/>
      <c r="AO804" s="94"/>
      <c r="AP804" s="91"/>
    </row>
    <row r="805">
      <c r="AL805" s="93"/>
      <c r="AM805" s="93"/>
      <c r="AN805" s="93"/>
      <c r="AO805" s="94"/>
      <c r="AP805" s="91"/>
    </row>
    <row r="806">
      <c r="AL806" s="93"/>
      <c r="AM806" s="93"/>
      <c r="AN806" s="93"/>
      <c r="AO806" s="94"/>
      <c r="AP806" s="91"/>
    </row>
    <row r="807">
      <c r="AL807" s="93"/>
      <c r="AM807" s="93"/>
      <c r="AN807" s="93"/>
      <c r="AO807" s="94"/>
      <c r="AP807" s="91"/>
    </row>
    <row r="808">
      <c r="AL808" s="93"/>
      <c r="AM808" s="93"/>
      <c r="AN808" s="93"/>
      <c r="AO808" s="94"/>
      <c r="AP808" s="91"/>
    </row>
    <row r="809">
      <c r="AL809" s="93"/>
      <c r="AM809" s="93"/>
      <c r="AN809" s="93"/>
      <c r="AO809" s="94"/>
      <c r="AP809" s="91"/>
    </row>
    <row r="810">
      <c r="AL810" s="93"/>
      <c r="AM810" s="93"/>
      <c r="AN810" s="93"/>
      <c r="AO810" s="94"/>
      <c r="AP810" s="91"/>
    </row>
    <row r="811">
      <c r="AL811" s="93"/>
      <c r="AM811" s="93"/>
      <c r="AN811" s="93"/>
      <c r="AO811" s="94"/>
      <c r="AP811" s="91"/>
    </row>
    <row r="812">
      <c r="AL812" s="93"/>
      <c r="AM812" s="93"/>
      <c r="AN812" s="93"/>
      <c r="AO812" s="94"/>
      <c r="AP812" s="91"/>
    </row>
    <row r="813">
      <c r="AL813" s="93"/>
      <c r="AM813" s="93"/>
      <c r="AN813" s="93"/>
      <c r="AO813" s="94"/>
      <c r="AP813" s="91"/>
    </row>
    <row r="814">
      <c r="AL814" s="93"/>
      <c r="AM814" s="93"/>
      <c r="AN814" s="93"/>
      <c r="AO814" s="94"/>
      <c r="AP814" s="91"/>
    </row>
    <row r="815">
      <c r="AL815" s="93"/>
      <c r="AM815" s="93"/>
      <c r="AN815" s="93"/>
      <c r="AO815" s="94"/>
      <c r="AP815" s="91"/>
    </row>
    <row r="816">
      <c r="AL816" s="93"/>
      <c r="AM816" s="93"/>
      <c r="AN816" s="93"/>
      <c r="AO816" s="94"/>
      <c r="AP816" s="91"/>
    </row>
    <row r="817">
      <c r="AL817" s="93"/>
      <c r="AM817" s="93"/>
      <c r="AN817" s="93"/>
      <c r="AO817" s="94"/>
      <c r="AP817" s="91"/>
    </row>
    <row r="818">
      <c r="AL818" s="93"/>
      <c r="AM818" s="93"/>
      <c r="AN818" s="93"/>
      <c r="AO818" s="94"/>
      <c r="AP818" s="91"/>
    </row>
    <row r="819">
      <c r="AL819" s="93"/>
      <c r="AM819" s="93"/>
      <c r="AN819" s="93"/>
      <c r="AO819" s="94"/>
      <c r="AP819" s="91"/>
    </row>
    <row r="820">
      <c r="AL820" s="93"/>
      <c r="AM820" s="93"/>
      <c r="AN820" s="93"/>
      <c r="AO820" s="94"/>
      <c r="AP820" s="91"/>
    </row>
    <row r="821">
      <c r="AL821" s="93"/>
      <c r="AM821" s="93"/>
      <c r="AN821" s="93"/>
      <c r="AO821" s="94"/>
      <c r="AP821" s="91"/>
    </row>
    <row r="822">
      <c r="AL822" s="93"/>
      <c r="AM822" s="93"/>
      <c r="AN822" s="93"/>
      <c r="AO822" s="94"/>
      <c r="AP822" s="91"/>
    </row>
    <row r="823">
      <c r="AL823" s="93"/>
      <c r="AM823" s="93"/>
      <c r="AN823" s="93"/>
      <c r="AO823" s="94"/>
      <c r="AP823" s="91"/>
    </row>
    <row r="824">
      <c r="AL824" s="93"/>
      <c r="AM824" s="93"/>
      <c r="AN824" s="93"/>
      <c r="AO824" s="94"/>
      <c r="AP824" s="91"/>
    </row>
    <row r="825">
      <c r="AL825" s="93"/>
      <c r="AM825" s="93"/>
      <c r="AN825" s="93"/>
      <c r="AO825" s="94"/>
      <c r="AP825" s="91"/>
    </row>
    <row r="826">
      <c r="AL826" s="93"/>
      <c r="AM826" s="93"/>
      <c r="AN826" s="93"/>
      <c r="AO826" s="94"/>
      <c r="AP826" s="91"/>
    </row>
    <row r="827">
      <c r="AL827" s="93"/>
      <c r="AM827" s="93"/>
      <c r="AN827" s="93"/>
      <c r="AO827" s="94"/>
      <c r="AP827" s="91"/>
    </row>
    <row r="828">
      <c r="AL828" s="93"/>
      <c r="AM828" s="93"/>
      <c r="AN828" s="93"/>
      <c r="AO828" s="94"/>
      <c r="AP828" s="91"/>
    </row>
    <row r="829">
      <c r="AL829" s="93"/>
      <c r="AM829" s="93"/>
      <c r="AN829" s="93"/>
      <c r="AO829" s="94"/>
      <c r="AP829" s="91"/>
    </row>
    <row r="830">
      <c r="AL830" s="93"/>
      <c r="AM830" s="93"/>
      <c r="AN830" s="93"/>
      <c r="AO830" s="94"/>
      <c r="AP830" s="91"/>
    </row>
    <row r="831">
      <c r="AL831" s="93"/>
      <c r="AM831" s="93"/>
      <c r="AN831" s="93"/>
      <c r="AO831" s="94"/>
      <c r="AP831" s="91"/>
    </row>
    <row r="832">
      <c r="AL832" s="93"/>
      <c r="AM832" s="93"/>
      <c r="AN832" s="93"/>
      <c r="AO832" s="94"/>
      <c r="AP832" s="91"/>
    </row>
    <row r="833">
      <c r="AL833" s="93"/>
      <c r="AM833" s="93"/>
      <c r="AN833" s="93"/>
      <c r="AO833" s="94"/>
      <c r="AP833" s="91"/>
    </row>
    <row r="834">
      <c r="AL834" s="93"/>
      <c r="AM834" s="93"/>
      <c r="AN834" s="93"/>
      <c r="AO834" s="94"/>
      <c r="AP834" s="91"/>
    </row>
    <row r="835">
      <c r="AL835" s="93"/>
      <c r="AM835" s="93"/>
      <c r="AN835" s="93"/>
      <c r="AO835" s="94"/>
      <c r="AP835" s="91"/>
    </row>
    <row r="836">
      <c r="AL836" s="93"/>
      <c r="AM836" s="93"/>
      <c r="AN836" s="93"/>
      <c r="AO836" s="94"/>
      <c r="AP836" s="91"/>
    </row>
    <row r="837">
      <c r="AL837" s="93"/>
      <c r="AM837" s="93"/>
      <c r="AN837" s="93"/>
      <c r="AO837" s="94"/>
      <c r="AP837" s="91"/>
    </row>
    <row r="838">
      <c r="AL838" s="93"/>
      <c r="AM838" s="93"/>
      <c r="AN838" s="93"/>
      <c r="AO838" s="94"/>
      <c r="AP838" s="91"/>
    </row>
    <row r="839">
      <c r="AL839" s="93"/>
      <c r="AM839" s="93"/>
      <c r="AN839" s="93"/>
      <c r="AO839" s="94"/>
      <c r="AP839" s="91"/>
    </row>
    <row r="840">
      <c r="AL840" s="93"/>
      <c r="AM840" s="93"/>
      <c r="AN840" s="93"/>
      <c r="AO840" s="94"/>
      <c r="AP840" s="91"/>
    </row>
    <row r="841">
      <c r="AL841" s="93"/>
      <c r="AM841" s="93"/>
      <c r="AN841" s="93"/>
      <c r="AO841" s="94"/>
      <c r="AP841" s="91"/>
    </row>
    <row r="842">
      <c r="AL842" s="93"/>
      <c r="AM842" s="93"/>
      <c r="AN842" s="93"/>
      <c r="AO842" s="94"/>
      <c r="AP842" s="91"/>
    </row>
    <row r="843">
      <c r="AL843" s="93"/>
      <c r="AM843" s="93"/>
      <c r="AN843" s="93"/>
      <c r="AO843" s="94"/>
      <c r="AP843" s="91"/>
    </row>
    <row r="844">
      <c r="AL844" s="93"/>
      <c r="AM844" s="93"/>
      <c r="AN844" s="93"/>
      <c r="AO844" s="94"/>
      <c r="AP844" s="91"/>
    </row>
    <row r="845">
      <c r="AL845" s="93"/>
      <c r="AM845" s="93"/>
      <c r="AN845" s="93"/>
      <c r="AO845" s="94"/>
      <c r="AP845" s="91"/>
    </row>
    <row r="846">
      <c r="AL846" s="93"/>
      <c r="AM846" s="93"/>
      <c r="AN846" s="93"/>
      <c r="AO846" s="94"/>
      <c r="AP846" s="91"/>
    </row>
    <row r="847">
      <c r="AL847" s="93"/>
      <c r="AM847" s="93"/>
      <c r="AN847" s="93"/>
      <c r="AO847" s="94"/>
      <c r="AP847" s="91"/>
    </row>
    <row r="848">
      <c r="AL848" s="93"/>
      <c r="AM848" s="93"/>
      <c r="AN848" s="93"/>
      <c r="AO848" s="94"/>
      <c r="AP848" s="91"/>
    </row>
    <row r="849">
      <c r="AL849" s="93"/>
      <c r="AM849" s="93"/>
      <c r="AN849" s="93"/>
      <c r="AO849" s="94"/>
      <c r="AP849" s="91"/>
    </row>
    <row r="850">
      <c r="AL850" s="93"/>
      <c r="AM850" s="93"/>
      <c r="AN850" s="93"/>
      <c r="AO850" s="94"/>
      <c r="AP850" s="91"/>
    </row>
    <row r="851">
      <c r="AL851" s="93"/>
      <c r="AM851" s="93"/>
      <c r="AN851" s="93"/>
      <c r="AO851" s="94"/>
      <c r="AP851" s="91"/>
    </row>
    <row r="852">
      <c r="AL852" s="93"/>
      <c r="AM852" s="93"/>
      <c r="AN852" s="93"/>
      <c r="AO852" s="94"/>
      <c r="AP852" s="91"/>
    </row>
    <row r="853">
      <c r="AL853" s="93"/>
      <c r="AM853" s="93"/>
      <c r="AN853" s="93"/>
      <c r="AO853" s="94"/>
      <c r="AP853" s="91"/>
    </row>
    <row r="854">
      <c r="AL854" s="93"/>
      <c r="AM854" s="93"/>
      <c r="AN854" s="93"/>
      <c r="AO854" s="94"/>
      <c r="AP854" s="91"/>
    </row>
    <row r="855">
      <c r="AL855" s="93"/>
      <c r="AM855" s="93"/>
      <c r="AN855" s="93"/>
      <c r="AO855" s="94"/>
      <c r="AP855" s="91"/>
    </row>
    <row r="856">
      <c r="AL856" s="93"/>
      <c r="AM856" s="93"/>
      <c r="AN856" s="93"/>
      <c r="AO856" s="94"/>
      <c r="AP856" s="91"/>
    </row>
    <row r="857">
      <c r="AL857" s="93"/>
      <c r="AM857" s="93"/>
      <c r="AN857" s="93"/>
      <c r="AO857" s="94"/>
      <c r="AP857" s="91"/>
    </row>
    <row r="858">
      <c r="AL858" s="93"/>
      <c r="AM858" s="93"/>
      <c r="AN858" s="93"/>
      <c r="AO858" s="94"/>
      <c r="AP858" s="91"/>
    </row>
    <row r="859">
      <c r="AL859" s="93"/>
      <c r="AM859" s="93"/>
      <c r="AN859" s="93"/>
      <c r="AO859" s="94"/>
      <c r="AP859" s="91"/>
    </row>
    <row r="860">
      <c r="AL860" s="93"/>
      <c r="AM860" s="93"/>
      <c r="AN860" s="93"/>
      <c r="AO860" s="94"/>
      <c r="AP860" s="91"/>
    </row>
    <row r="861">
      <c r="AL861" s="93"/>
      <c r="AM861" s="93"/>
      <c r="AN861" s="93"/>
      <c r="AO861" s="94"/>
      <c r="AP861" s="91"/>
    </row>
    <row r="862">
      <c r="AL862" s="93"/>
      <c r="AM862" s="93"/>
      <c r="AN862" s="93"/>
      <c r="AO862" s="94"/>
      <c r="AP862" s="91"/>
    </row>
    <row r="863">
      <c r="AL863" s="93"/>
      <c r="AM863" s="93"/>
      <c r="AN863" s="93"/>
      <c r="AO863" s="94"/>
      <c r="AP863" s="91"/>
    </row>
    <row r="864">
      <c r="AL864" s="93"/>
      <c r="AM864" s="93"/>
      <c r="AN864" s="93"/>
      <c r="AO864" s="94"/>
      <c r="AP864" s="91"/>
    </row>
    <row r="865">
      <c r="AL865" s="93"/>
      <c r="AM865" s="93"/>
      <c r="AN865" s="93"/>
      <c r="AO865" s="94"/>
      <c r="AP865" s="91"/>
    </row>
    <row r="866">
      <c r="AL866" s="93"/>
      <c r="AM866" s="93"/>
      <c r="AN866" s="93"/>
      <c r="AO866" s="94"/>
      <c r="AP866" s="91"/>
    </row>
    <row r="867">
      <c r="AL867" s="93"/>
      <c r="AM867" s="93"/>
      <c r="AN867" s="93"/>
      <c r="AO867" s="94"/>
      <c r="AP867" s="91"/>
    </row>
    <row r="868">
      <c r="AL868" s="93"/>
      <c r="AM868" s="93"/>
      <c r="AN868" s="93"/>
      <c r="AO868" s="94"/>
      <c r="AP868" s="91"/>
    </row>
    <row r="869">
      <c r="AL869" s="93"/>
      <c r="AM869" s="93"/>
      <c r="AN869" s="93"/>
      <c r="AO869" s="94"/>
      <c r="AP869" s="91"/>
    </row>
    <row r="870">
      <c r="AL870" s="93"/>
      <c r="AM870" s="93"/>
      <c r="AN870" s="93"/>
      <c r="AO870" s="94"/>
      <c r="AP870" s="91"/>
    </row>
    <row r="871">
      <c r="AL871" s="93"/>
      <c r="AM871" s="93"/>
      <c r="AN871" s="93"/>
      <c r="AO871" s="94"/>
      <c r="AP871" s="91"/>
    </row>
    <row r="872">
      <c r="AL872" s="93"/>
      <c r="AM872" s="93"/>
      <c r="AN872" s="93"/>
      <c r="AO872" s="94"/>
      <c r="AP872" s="91"/>
    </row>
    <row r="873">
      <c r="AL873" s="93"/>
      <c r="AM873" s="93"/>
      <c r="AN873" s="93"/>
      <c r="AO873" s="94"/>
      <c r="AP873" s="91"/>
    </row>
    <row r="874">
      <c r="AL874" s="93"/>
      <c r="AM874" s="93"/>
      <c r="AN874" s="93"/>
      <c r="AO874" s="94"/>
      <c r="AP874" s="91"/>
    </row>
    <row r="875">
      <c r="AL875" s="93"/>
      <c r="AM875" s="93"/>
      <c r="AN875" s="93"/>
      <c r="AO875" s="94"/>
      <c r="AP875" s="91"/>
    </row>
    <row r="876">
      <c r="AL876" s="93"/>
      <c r="AM876" s="93"/>
      <c r="AN876" s="93"/>
      <c r="AO876" s="94"/>
      <c r="AP876" s="91"/>
    </row>
    <row r="877">
      <c r="AL877" s="93"/>
      <c r="AM877" s="93"/>
      <c r="AN877" s="93"/>
      <c r="AO877" s="94"/>
      <c r="AP877" s="91"/>
    </row>
    <row r="878">
      <c r="AL878" s="93"/>
      <c r="AM878" s="93"/>
      <c r="AN878" s="93"/>
      <c r="AO878" s="94"/>
      <c r="AP878" s="91"/>
    </row>
    <row r="879">
      <c r="AL879" s="93"/>
      <c r="AM879" s="93"/>
      <c r="AN879" s="93"/>
      <c r="AO879" s="94"/>
      <c r="AP879" s="91"/>
    </row>
    <row r="880">
      <c r="AL880" s="93"/>
      <c r="AM880" s="93"/>
      <c r="AN880" s="93"/>
      <c r="AO880" s="94"/>
      <c r="AP880" s="91"/>
    </row>
    <row r="881">
      <c r="AL881" s="93"/>
      <c r="AM881" s="93"/>
      <c r="AN881" s="93"/>
      <c r="AO881" s="94"/>
      <c r="AP881" s="91"/>
    </row>
    <row r="882">
      <c r="AL882" s="93"/>
      <c r="AM882" s="93"/>
      <c r="AN882" s="93"/>
      <c r="AO882" s="94"/>
      <c r="AP882" s="91"/>
    </row>
    <row r="883">
      <c r="AL883" s="93"/>
      <c r="AM883" s="93"/>
      <c r="AN883" s="93"/>
      <c r="AO883" s="94"/>
      <c r="AP883" s="91"/>
    </row>
    <row r="884">
      <c r="AL884" s="93"/>
      <c r="AM884" s="93"/>
      <c r="AN884" s="93"/>
      <c r="AO884" s="94"/>
      <c r="AP884" s="91"/>
    </row>
    <row r="885">
      <c r="AL885" s="93"/>
      <c r="AM885" s="93"/>
      <c r="AN885" s="93"/>
      <c r="AO885" s="94"/>
      <c r="AP885" s="91"/>
    </row>
    <row r="886">
      <c r="AL886" s="93"/>
      <c r="AM886" s="93"/>
      <c r="AN886" s="93"/>
      <c r="AO886" s="94"/>
      <c r="AP886" s="91"/>
    </row>
    <row r="887">
      <c r="AL887" s="93"/>
      <c r="AM887" s="93"/>
      <c r="AN887" s="93"/>
      <c r="AO887" s="94"/>
      <c r="AP887" s="91"/>
    </row>
    <row r="888">
      <c r="AL888" s="93"/>
      <c r="AM888" s="93"/>
      <c r="AN888" s="93"/>
      <c r="AO888" s="94"/>
      <c r="AP888" s="91"/>
    </row>
    <row r="889">
      <c r="AL889" s="93"/>
      <c r="AM889" s="93"/>
      <c r="AN889" s="93"/>
      <c r="AO889" s="94"/>
      <c r="AP889" s="91"/>
    </row>
    <row r="890">
      <c r="AL890" s="93"/>
      <c r="AM890" s="93"/>
      <c r="AN890" s="93"/>
      <c r="AO890" s="94"/>
      <c r="AP890" s="91"/>
    </row>
    <row r="891">
      <c r="AL891" s="93"/>
      <c r="AM891" s="93"/>
      <c r="AN891" s="93"/>
      <c r="AO891" s="94"/>
      <c r="AP891" s="91"/>
    </row>
    <row r="892">
      <c r="AL892" s="93"/>
      <c r="AM892" s="93"/>
      <c r="AN892" s="93"/>
      <c r="AO892" s="94"/>
      <c r="AP892" s="91"/>
    </row>
    <row r="893">
      <c r="AL893" s="93"/>
      <c r="AM893" s="93"/>
      <c r="AN893" s="93"/>
      <c r="AO893" s="94"/>
      <c r="AP893" s="91"/>
    </row>
    <row r="894">
      <c r="AL894" s="93"/>
      <c r="AM894" s="93"/>
      <c r="AN894" s="93"/>
      <c r="AO894" s="94"/>
      <c r="AP894" s="91"/>
    </row>
    <row r="895">
      <c r="AL895" s="93"/>
      <c r="AM895" s="93"/>
      <c r="AN895" s="93"/>
      <c r="AO895" s="94"/>
      <c r="AP895" s="91"/>
    </row>
    <row r="896">
      <c r="AL896" s="93"/>
      <c r="AM896" s="93"/>
      <c r="AN896" s="93"/>
      <c r="AO896" s="94"/>
      <c r="AP896" s="91"/>
    </row>
    <row r="897">
      <c r="AL897" s="93"/>
      <c r="AM897" s="93"/>
      <c r="AN897" s="93"/>
      <c r="AO897" s="94"/>
      <c r="AP897" s="91"/>
    </row>
    <row r="898">
      <c r="AL898" s="93"/>
      <c r="AM898" s="93"/>
      <c r="AN898" s="93"/>
      <c r="AO898" s="94"/>
      <c r="AP898" s="91"/>
    </row>
    <row r="899">
      <c r="AL899" s="93"/>
      <c r="AM899" s="93"/>
      <c r="AN899" s="93"/>
      <c r="AO899" s="94"/>
      <c r="AP899" s="91"/>
    </row>
    <row r="900">
      <c r="AL900" s="93"/>
      <c r="AM900" s="93"/>
      <c r="AN900" s="93"/>
      <c r="AO900" s="94"/>
      <c r="AP900" s="91"/>
    </row>
    <row r="901">
      <c r="AL901" s="93"/>
      <c r="AM901" s="93"/>
      <c r="AN901" s="93"/>
      <c r="AO901" s="94"/>
      <c r="AP901" s="91"/>
    </row>
    <row r="902">
      <c r="AL902" s="93"/>
      <c r="AM902" s="93"/>
      <c r="AN902" s="93"/>
      <c r="AO902" s="94"/>
      <c r="AP902" s="91"/>
    </row>
    <row r="903">
      <c r="AL903" s="93"/>
      <c r="AM903" s="93"/>
      <c r="AN903" s="93"/>
      <c r="AO903" s="94"/>
      <c r="AP903" s="91"/>
    </row>
    <row r="904">
      <c r="AL904" s="93"/>
      <c r="AM904" s="93"/>
      <c r="AN904" s="93"/>
      <c r="AO904" s="94"/>
      <c r="AP904" s="91"/>
    </row>
    <row r="905">
      <c r="AL905" s="93"/>
      <c r="AM905" s="93"/>
      <c r="AN905" s="93"/>
      <c r="AO905" s="94"/>
      <c r="AP905" s="91"/>
    </row>
    <row r="906">
      <c r="AL906" s="93"/>
      <c r="AM906" s="93"/>
      <c r="AN906" s="93"/>
      <c r="AO906" s="94"/>
      <c r="AP906" s="91"/>
    </row>
    <row r="907">
      <c r="AL907" s="93"/>
      <c r="AM907" s="93"/>
      <c r="AN907" s="93"/>
      <c r="AO907" s="94"/>
      <c r="AP907" s="91"/>
    </row>
    <row r="908">
      <c r="AL908" s="93"/>
      <c r="AM908" s="93"/>
      <c r="AN908" s="93"/>
      <c r="AO908" s="94"/>
      <c r="AP908" s="91"/>
    </row>
    <row r="909">
      <c r="AL909" s="93"/>
      <c r="AM909" s="93"/>
      <c r="AN909" s="93"/>
      <c r="AO909" s="94"/>
      <c r="AP909" s="91"/>
    </row>
    <row r="910">
      <c r="AL910" s="93"/>
      <c r="AM910" s="93"/>
      <c r="AN910" s="93"/>
      <c r="AO910" s="94"/>
      <c r="AP910" s="91"/>
    </row>
    <row r="911">
      <c r="AL911" s="93"/>
      <c r="AM911" s="93"/>
      <c r="AN911" s="93"/>
      <c r="AO911" s="94"/>
      <c r="AP911" s="91"/>
    </row>
    <row r="912">
      <c r="AL912" s="93"/>
      <c r="AM912" s="93"/>
      <c r="AN912" s="93"/>
      <c r="AO912" s="94"/>
      <c r="AP912" s="91"/>
    </row>
    <row r="913">
      <c r="AL913" s="93"/>
      <c r="AM913" s="93"/>
      <c r="AN913" s="93"/>
      <c r="AO913" s="94"/>
      <c r="AP913" s="91"/>
    </row>
    <row r="914">
      <c r="AL914" s="93"/>
      <c r="AM914" s="93"/>
      <c r="AN914" s="93"/>
      <c r="AO914" s="94"/>
      <c r="AP914" s="91"/>
    </row>
    <row r="915">
      <c r="AL915" s="93"/>
      <c r="AM915" s="93"/>
      <c r="AN915" s="93"/>
      <c r="AO915" s="94"/>
      <c r="AP915" s="91"/>
    </row>
    <row r="916">
      <c r="AL916" s="93"/>
      <c r="AM916" s="93"/>
      <c r="AN916" s="93"/>
      <c r="AO916" s="94"/>
      <c r="AP916" s="91"/>
    </row>
    <row r="917">
      <c r="AL917" s="93"/>
      <c r="AM917" s="93"/>
      <c r="AN917" s="93"/>
      <c r="AO917" s="94"/>
      <c r="AP917" s="91"/>
    </row>
    <row r="918">
      <c r="AL918" s="93"/>
      <c r="AM918" s="93"/>
      <c r="AN918" s="93"/>
      <c r="AO918" s="94"/>
      <c r="AP918" s="91"/>
    </row>
    <row r="919">
      <c r="AL919" s="93"/>
      <c r="AM919" s="93"/>
      <c r="AN919" s="93"/>
      <c r="AO919" s="94"/>
      <c r="AP919" s="91"/>
    </row>
    <row r="920">
      <c r="AL920" s="93"/>
      <c r="AM920" s="93"/>
      <c r="AN920" s="93"/>
      <c r="AO920" s="94"/>
      <c r="AP920" s="91"/>
    </row>
    <row r="921">
      <c r="AL921" s="93"/>
      <c r="AM921" s="93"/>
      <c r="AN921" s="93"/>
      <c r="AO921" s="94"/>
      <c r="AP921" s="91"/>
    </row>
    <row r="922">
      <c r="AL922" s="93"/>
      <c r="AM922" s="93"/>
      <c r="AN922" s="93"/>
      <c r="AO922" s="94"/>
      <c r="AP922" s="91"/>
    </row>
    <row r="923">
      <c r="AL923" s="93"/>
      <c r="AM923" s="93"/>
      <c r="AN923" s="93"/>
      <c r="AO923" s="94"/>
      <c r="AP923" s="91"/>
    </row>
    <row r="924">
      <c r="AL924" s="93"/>
      <c r="AM924" s="93"/>
      <c r="AN924" s="93"/>
      <c r="AO924" s="94"/>
      <c r="AP924" s="91"/>
    </row>
    <row r="925">
      <c r="AL925" s="93"/>
      <c r="AM925" s="93"/>
      <c r="AN925" s="93"/>
      <c r="AO925" s="94"/>
      <c r="AP925" s="91"/>
    </row>
    <row r="926">
      <c r="AL926" s="93"/>
      <c r="AM926" s="93"/>
      <c r="AN926" s="93"/>
      <c r="AO926" s="94"/>
      <c r="AP926" s="91"/>
    </row>
    <row r="927">
      <c r="AL927" s="93"/>
      <c r="AM927" s="93"/>
      <c r="AN927" s="93"/>
      <c r="AO927" s="94"/>
      <c r="AP927" s="91"/>
    </row>
    <row r="928">
      <c r="AL928" s="93"/>
      <c r="AM928" s="93"/>
      <c r="AN928" s="93"/>
      <c r="AO928" s="94"/>
      <c r="AP928" s="91"/>
    </row>
    <row r="929">
      <c r="AL929" s="93"/>
      <c r="AM929" s="93"/>
      <c r="AN929" s="93"/>
      <c r="AO929" s="94"/>
      <c r="AP929" s="91"/>
    </row>
    <row r="930">
      <c r="AL930" s="93"/>
      <c r="AM930" s="93"/>
      <c r="AN930" s="93"/>
      <c r="AO930" s="94"/>
      <c r="AP930" s="91"/>
    </row>
    <row r="931">
      <c r="AL931" s="93"/>
      <c r="AM931" s="93"/>
      <c r="AN931" s="93"/>
      <c r="AO931" s="94"/>
      <c r="AP931" s="91"/>
    </row>
    <row r="932">
      <c r="AL932" s="93"/>
      <c r="AM932" s="93"/>
      <c r="AN932" s="93"/>
      <c r="AO932" s="94"/>
      <c r="AP932" s="91"/>
    </row>
    <row r="933">
      <c r="AL933" s="93"/>
      <c r="AM933" s="93"/>
      <c r="AN933" s="93"/>
      <c r="AO933" s="94"/>
      <c r="AP933" s="91"/>
    </row>
    <row r="934">
      <c r="AL934" s="93"/>
      <c r="AM934" s="93"/>
      <c r="AN934" s="93"/>
      <c r="AO934" s="94"/>
      <c r="AP934" s="91"/>
    </row>
    <row r="935">
      <c r="AL935" s="93"/>
      <c r="AM935" s="93"/>
      <c r="AN935" s="93"/>
      <c r="AO935" s="94"/>
      <c r="AP935" s="91"/>
    </row>
    <row r="936">
      <c r="AL936" s="93"/>
      <c r="AM936" s="93"/>
      <c r="AN936" s="93"/>
      <c r="AO936" s="94"/>
      <c r="AP936" s="91"/>
    </row>
    <row r="937">
      <c r="AL937" s="93"/>
      <c r="AM937" s="93"/>
      <c r="AN937" s="93"/>
      <c r="AO937" s="94"/>
      <c r="AP937" s="91"/>
    </row>
    <row r="938">
      <c r="AL938" s="93"/>
      <c r="AM938" s="93"/>
      <c r="AN938" s="93"/>
      <c r="AO938" s="94"/>
      <c r="AP938" s="91"/>
    </row>
    <row r="939">
      <c r="AL939" s="93"/>
      <c r="AM939" s="93"/>
      <c r="AN939" s="93"/>
      <c r="AO939" s="94"/>
      <c r="AP939" s="91"/>
    </row>
    <row r="940">
      <c r="AL940" s="93"/>
      <c r="AM940" s="93"/>
      <c r="AN940" s="93"/>
      <c r="AO940" s="94"/>
      <c r="AP940" s="91"/>
    </row>
    <row r="941">
      <c r="AL941" s="93"/>
      <c r="AM941" s="93"/>
      <c r="AN941" s="93"/>
      <c r="AO941" s="94"/>
      <c r="AP941" s="91"/>
    </row>
    <row r="942">
      <c r="AL942" s="93"/>
      <c r="AM942" s="93"/>
      <c r="AN942" s="93"/>
      <c r="AO942" s="94"/>
      <c r="AP942" s="91"/>
    </row>
    <row r="943">
      <c r="AL943" s="93"/>
      <c r="AM943" s="93"/>
      <c r="AN943" s="93"/>
      <c r="AO943" s="94"/>
      <c r="AP943" s="91"/>
    </row>
    <row r="944">
      <c r="AL944" s="93"/>
      <c r="AM944" s="93"/>
      <c r="AN944" s="93"/>
      <c r="AO944" s="94"/>
      <c r="AP944" s="91"/>
    </row>
    <row r="945">
      <c r="AL945" s="93"/>
      <c r="AM945" s="93"/>
      <c r="AN945" s="93"/>
      <c r="AO945" s="94"/>
      <c r="AP945" s="91"/>
    </row>
    <row r="946">
      <c r="AL946" s="93"/>
      <c r="AM946" s="93"/>
      <c r="AN946" s="93"/>
      <c r="AO946" s="94"/>
      <c r="AP946" s="91"/>
    </row>
    <row r="947">
      <c r="AL947" s="93"/>
      <c r="AM947" s="93"/>
      <c r="AN947" s="93"/>
      <c r="AO947" s="94"/>
      <c r="AP947" s="91"/>
    </row>
    <row r="948">
      <c r="AL948" s="93"/>
      <c r="AM948" s="93"/>
      <c r="AN948" s="93"/>
      <c r="AO948" s="94"/>
      <c r="AP948" s="91"/>
    </row>
    <row r="949">
      <c r="AL949" s="93"/>
      <c r="AM949" s="93"/>
      <c r="AN949" s="93"/>
      <c r="AO949" s="94"/>
      <c r="AP949" s="91"/>
    </row>
    <row r="950">
      <c r="AL950" s="93"/>
      <c r="AM950" s="93"/>
      <c r="AN950" s="93"/>
      <c r="AO950" s="94"/>
      <c r="AP950" s="91"/>
    </row>
    <row r="951">
      <c r="AL951" s="93"/>
      <c r="AM951" s="93"/>
      <c r="AN951" s="93"/>
      <c r="AO951" s="94"/>
      <c r="AP951" s="91"/>
    </row>
    <row r="952">
      <c r="AL952" s="93"/>
      <c r="AM952" s="93"/>
      <c r="AN952" s="93"/>
      <c r="AO952" s="94"/>
      <c r="AP952" s="91"/>
    </row>
    <row r="953">
      <c r="AL953" s="93"/>
      <c r="AM953" s="93"/>
      <c r="AN953" s="93"/>
      <c r="AO953" s="94"/>
      <c r="AP953" s="91"/>
    </row>
    <row r="954">
      <c r="AL954" s="93"/>
      <c r="AM954" s="93"/>
      <c r="AN954" s="93"/>
      <c r="AO954" s="94"/>
      <c r="AP954" s="91"/>
    </row>
    <row r="955">
      <c r="AL955" s="93"/>
      <c r="AM955" s="93"/>
      <c r="AN955" s="93"/>
      <c r="AO955" s="94"/>
      <c r="AP955" s="91"/>
    </row>
    <row r="956">
      <c r="AL956" s="93"/>
      <c r="AM956" s="93"/>
      <c r="AN956" s="93"/>
      <c r="AO956" s="94"/>
      <c r="AP956" s="91"/>
    </row>
    <row r="957">
      <c r="AL957" s="93"/>
      <c r="AM957" s="93"/>
      <c r="AN957" s="93"/>
      <c r="AO957" s="94"/>
      <c r="AP957" s="91"/>
    </row>
    <row r="958">
      <c r="AL958" s="93"/>
      <c r="AM958" s="93"/>
      <c r="AN958" s="93"/>
      <c r="AO958" s="94"/>
      <c r="AP958" s="91"/>
    </row>
    <row r="959">
      <c r="AL959" s="93"/>
      <c r="AM959" s="93"/>
      <c r="AN959" s="93"/>
      <c r="AO959" s="94"/>
      <c r="AP959" s="91"/>
    </row>
    <row r="960">
      <c r="AL960" s="93"/>
      <c r="AM960" s="93"/>
      <c r="AN960" s="93"/>
      <c r="AO960" s="94"/>
      <c r="AP960" s="91"/>
    </row>
    <row r="961">
      <c r="AL961" s="93"/>
      <c r="AM961" s="93"/>
      <c r="AN961" s="93"/>
      <c r="AO961" s="94"/>
      <c r="AP961" s="91"/>
    </row>
    <row r="962">
      <c r="AL962" s="93"/>
      <c r="AM962" s="93"/>
      <c r="AN962" s="93"/>
      <c r="AO962" s="94"/>
      <c r="AP962" s="91"/>
    </row>
    <row r="963">
      <c r="AL963" s="93"/>
      <c r="AM963" s="93"/>
      <c r="AN963" s="93"/>
      <c r="AO963" s="94"/>
      <c r="AP963" s="91"/>
    </row>
    <row r="964">
      <c r="AL964" s="93"/>
      <c r="AM964" s="93"/>
      <c r="AN964" s="93"/>
      <c r="AO964" s="94"/>
      <c r="AP964" s="91"/>
    </row>
    <row r="965">
      <c r="AL965" s="93"/>
      <c r="AM965" s="93"/>
      <c r="AN965" s="93"/>
      <c r="AO965" s="94"/>
      <c r="AP965" s="91"/>
    </row>
    <row r="966">
      <c r="AL966" s="93"/>
      <c r="AM966" s="93"/>
      <c r="AN966" s="93"/>
      <c r="AO966" s="94"/>
      <c r="AP966" s="91"/>
    </row>
    <row r="967">
      <c r="AL967" s="93"/>
      <c r="AM967" s="93"/>
      <c r="AN967" s="93"/>
      <c r="AO967" s="94"/>
      <c r="AP967" s="91"/>
    </row>
    <row r="968">
      <c r="AL968" s="93"/>
      <c r="AM968" s="93"/>
      <c r="AN968" s="93"/>
      <c r="AO968" s="94"/>
      <c r="AP968" s="91"/>
    </row>
    <row r="969">
      <c r="AL969" s="93"/>
      <c r="AM969" s="93"/>
      <c r="AN969" s="93"/>
      <c r="AO969" s="94"/>
      <c r="AP969" s="91"/>
    </row>
    <row r="970">
      <c r="AL970" s="93"/>
      <c r="AM970" s="93"/>
      <c r="AN970" s="93"/>
      <c r="AO970" s="94"/>
      <c r="AP970" s="91"/>
    </row>
    <row r="971">
      <c r="AL971" s="93"/>
      <c r="AM971" s="93"/>
      <c r="AN971" s="93"/>
      <c r="AO971" s="94"/>
      <c r="AP971" s="91"/>
    </row>
    <row r="972">
      <c r="AL972" s="93"/>
      <c r="AM972" s="93"/>
      <c r="AN972" s="93"/>
      <c r="AO972" s="94"/>
      <c r="AP972" s="91"/>
    </row>
    <row r="973">
      <c r="AL973" s="93"/>
      <c r="AM973" s="93"/>
      <c r="AN973" s="93"/>
      <c r="AO973" s="94"/>
      <c r="AP973" s="91"/>
    </row>
    <row r="974">
      <c r="AL974" s="93"/>
      <c r="AM974" s="93"/>
      <c r="AN974" s="93"/>
      <c r="AO974" s="94"/>
      <c r="AP974" s="91"/>
    </row>
    <row r="975">
      <c r="AL975" s="93"/>
      <c r="AM975" s="93"/>
      <c r="AN975" s="93"/>
      <c r="AO975" s="94"/>
      <c r="AP975" s="91"/>
    </row>
    <row r="976">
      <c r="AL976" s="93"/>
      <c r="AM976" s="93"/>
      <c r="AN976" s="93"/>
      <c r="AO976" s="94"/>
      <c r="AP976" s="91"/>
    </row>
    <row r="977">
      <c r="AL977" s="93"/>
      <c r="AM977" s="93"/>
      <c r="AN977" s="93"/>
      <c r="AO977" s="94"/>
      <c r="AP977" s="91"/>
    </row>
    <row r="978">
      <c r="AL978" s="93"/>
      <c r="AM978" s="93"/>
      <c r="AN978" s="93"/>
      <c r="AO978" s="94"/>
      <c r="AP978" s="91"/>
    </row>
    <row r="979">
      <c r="AL979" s="93"/>
      <c r="AM979" s="93"/>
      <c r="AN979" s="93"/>
      <c r="AO979" s="94"/>
      <c r="AP979" s="91"/>
    </row>
    <row r="980">
      <c r="AL980" s="93"/>
      <c r="AM980" s="93"/>
      <c r="AN980" s="93"/>
      <c r="AO980" s="94"/>
      <c r="AP980" s="91"/>
    </row>
    <row r="981">
      <c r="AL981" s="93"/>
      <c r="AM981" s="93"/>
      <c r="AN981" s="93"/>
      <c r="AO981" s="94"/>
      <c r="AP981" s="91"/>
    </row>
    <row r="982">
      <c r="AL982" s="93"/>
      <c r="AM982" s="93"/>
      <c r="AN982" s="93"/>
      <c r="AO982" s="94"/>
      <c r="AP982" s="91"/>
    </row>
    <row r="983">
      <c r="AL983" s="93"/>
      <c r="AM983" s="93"/>
      <c r="AN983" s="93"/>
      <c r="AO983" s="94"/>
      <c r="AP983" s="91"/>
    </row>
    <row r="984">
      <c r="AL984" s="93"/>
      <c r="AM984" s="93"/>
      <c r="AN984" s="93"/>
      <c r="AO984" s="94"/>
      <c r="AP984" s="91"/>
    </row>
    <row r="985">
      <c r="AL985" s="93"/>
      <c r="AM985" s="93"/>
      <c r="AN985" s="93"/>
      <c r="AO985" s="94"/>
      <c r="AP985" s="91"/>
    </row>
    <row r="986">
      <c r="AL986" s="93"/>
      <c r="AM986" s="93"/>
      <c r="AN986" s="93"/>
      <c r="AO986" s="94"/>
      <c r="AP986" s="91"/>
    </row>
    <row r="987">
      <c r="AL987" s="93"/>
      <c r="AM987" s="93"/>
      <c r="AN987" s="93"/>
      <c r="AO987" s="94"/>
      <c r="AP987" s="91"/>
    </row>
    <row r="988">
      <c r="AL988" s="93"/>
      <c r="AM988" s="93"/>
      <c r="AN988" s="93"/>
      <c r="AO988" s="94"/>
      <c r="AP988" s="91"/>
    </row>
    <row r="989">
      <c r="AL989" s="93"/>
      <c r="AM989" s="93"/>
      <c r="AN989" s="93"/>
      <c r="AO989" s="94"/>
      <c r="AP989" s="91"/>
    </row>
    <row r="990">
      <c r="AL990" s="93"/>
      <c r="AM990" s="93"/>
      <c r="AN990" s="93"/>
      <c r="AO990" s="94"/>
      <c r="AP990" s="91"/>
    </row>
    <row r="991">
      <c r="AL991" s="93"/>
      <c r="AM991" s="93"/>
      <c r="AN991" s="93"/>
      <c r="AO991" s="94"/>
      <c r="AP991" s="91"/>
    </row>
    <row r="992">
      <c r="AL992" s="93"/>
      <c r="AM992" s="93"/>
      <c r="AN992" s="93"/>
      <c r="AO992" s="94"/>
      <c r="AP992" s="91"/>
    </row>
    <row r="993">
      <c r="AL993" s="93"/>
      <c r="AM993" s="93"/>
      <c r="AN993" s="93"/>
      <c r="AO993" s="94"/>
      <c r="AP993" s="91"/>
    </row>
    <row r="994">
      <c r="AL994" s="93"/>
      <c r="AM994" s="93"/>
      <c r="AN994" s="93"/>
      <c r="AO994" s="94"/>
      <c r="AP994" s="91"/>
    </row>
    <row r="995">
      <c r="AL995" s="93"/>
      <c r="AM995" s="93"/>
      <c r="AN995" s="93"/>
      <c r="AO995" s="94"/>
      <c r="AP995" s="91"/>
    </row>
    <row r="996">
      <c r="AL996" s="93"/>
      <c r="AM996" s="93"/>
      <c r="AN996" s="93"/>
      <c r="AO996" s="94"/>
      <c r="AP996" s="91"/>
    </row>
    <row r="997">
      <c r="AL997" s="93"/>
      <c r="AM997" s="93"/>
      <c r="AN997" s="93"/>
      <c r="AO997" s="94"/>
      <c r="AP997" s="91"/>
    </row>
    <row r="998">
      <c r="AL998" s="93"/>
      <c r="AM998" s="93"/>
      <c r="AN998" s="93"/>
      <c r="AO998" s="94"/>
      <c r="AP998" s="91"/>
    </row>
    <row r="999">
      <c r="AL999" s="93"/>
      <c r="AM999" s="93"/>
      <c r="AN999" s="93"/>
      <c r="AO999" s="94"/>
      <c r="AP999" s="91"/>
    </row>
    <row r="1000">
      <c r="AL1000" s="93"/>
      <c r="AM1000" s="93"/>
      <c r="AN1000" s="93"/>
      <c r="AO1000" s="94"/>
      <c r="AP1000" s="91"/>
    </row>
    <row r="1001">
      <c r="AL1001" s="93"/>
      <c r="AM1001" s="93"/>
      <c r="AN1001" s="93"/>
      <c r="AO1001" s="94"/>
      <c r="AP1001" s="91"/>
    </row>
    <row r="1002">
      <c r="AL1002" s="93"/>
      <c r="AM1002" s="93"/>
      <c r="AN1002" s="93"/>
      <c r="AO1002" s="94"/>
      <c r="AP1002" s="91"/>
    </row>
    <row r="1003">
      <c r="AL1003" s="93"/>
      <c r="AM1003" s="93"/>
      <c r="AN1003" s="93"/>
      <c r="AO1003" s="94"/>
      <c r="AP1003" s="91"/>
    </row>
  </sheetData>
  <mergeCells count="17">
    <mergeCell ref="X1:AB1"/>
    <mergeCell ref="AD1:AD3"/>
    <mergeCell ref="AE1:AI1"/>
    <mergeCell ref="AK1:AK3"/>
    <mergeCell ref="AL1:AL3"/>
    <mergeCell ref="AM1:AM3"/>
    <mergeCell ref="AN1:AN3"/>
    <mergeCell ref="AO1:AO3"/>
    <mergeCell ref="A42:C42"/>
    <mergeCell ref="A43:C43"/>
    <mergeCell ref="A1:A3"/>
    <mergeCell ref="B1:B3"/>
    <mergeCell ref="C1:C3"/>
    <mergeCell ref="N1:N3"/>
    <mergeCell ref="O1:O3"/>
    <mergeCell ref="P1:U1"/>
    <mergeCell ref="W1:W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5"/>
    <col customWidth="1" min="3" max="3" width="36.0"/>
    <col customWidth="1" min="4" max="13" width="4.0"/>
    <col customWidth="1" min="14" max="15" width="6.0"/>
    <col customWidth="1" min="16" max="22" width="5.13"/>
    <col customWidth="1" min="23" max="23" width="7.38"/>
    <col customWidth="1" min="24" max="30" width="5.13"/>
    <col customWidth="1" min="31" max="37" width="5.5"/>
  </cols>
  <sheetData>
    <row r="1">
      <c r="A1" s="1"/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3</v>
      </c>
      <c r="O1" s="3" t="s">
        <v>4</v>
      </c>
      <c r="P1" s="5" t="s">
        <v>5</v>
      </c>
      <c r="Q1" s="6"/>
      <c r="R1" s="6"/>
      <c r="S1" s="6"/>
      <c r="T1" s="6"/>
      <c r="U1" s="7"/>
      <c r="V1" s="8"/>
      <c r="W1" s="9" t="s">
        <v>4</v>
      </c>
      <c r="X1" s="10" t="s">
        <v>6</v>
      </c>
      <c r="Y1" s="6"/>
      <c r="Z1" s="6"/>
      <c r="AA1" s="6"/>
      <c r="AB1" s="7"/>
      <c r="AC1" s="11"/>
      <c r="AD1" s="12" t="s">
        <v>4</v>
      </c>
      <c r="AE1" s="13" t="s">
        <v>7</v>
      </c>
      <c r="AF1" s="6"/>
      <c r="AG1" s="6"/>
      <c r="AH1" s="6"/>
      <c r="AI1" s="7"/>
      <c r="AJ1" s="14"/>
      <c r="AK1" s="15" t="s">
        <v>4</v>
      </c>
      <c r="AL1" s="16" t="s">
        <v>8</v>
      </c>
      <c r="AM1" s="16" t="s">
        <v>9</v>
      </c>
      <c r="AN1" s="16" t="s">
        <v>4</v>
      </c>
      <c r="AO1" s="17" t="s">
        <v>10</v>
      </c>
      <c r="AP1" s="18"/>
    </row>
    <row r="2">
      <c r="A2" s="19"/>
      <c r="B2" s="19"/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19"/>
      <c r="O2" s="19"/>
      <c r="P2" s="21">
        <v>1.0</v>
      </c>
      <c r="Q2" s="21">
        <v>2.0</v>
      </c>
      <c r="R2" s="21">
        <v>3.0</v>
      </c>
      <c r="S2" s="21">
        <v>4.0</v>
      </c>
      <c r="T2" s="21">
        <v>5.0</v>
      </c>
      <c r="U2" s="21">
        <v>6.0</v>
      </c>
      <c r="V2" s="21">
        <v>7.0</v>
      </c>
      <c r="W2" s="19"/>
      <c r="X2" s="22">
        <v>1.0</v>
      </c>
      <c r="Y2" s="22">
        <v>2.0</v>
      </c>
      <c r="Z2" s="22">
        <v>3.0</v>
      </c>
      <c r="AA2" s="22">
        <v>4.0</v>
      </c>
      <c r="AB2" s="22">
        <v>5.0</v>
      </c>
      <c r="AC2" s="22">
        <v>6.0</v>
      </c>
      <c r="AD2" s="19"/>
      <c r="AE2" s="23">
        <v>1.0</v>
      </c>
      <c r="AF2" s="23">
        <v>2.0</v>
      </c>
      <c r="AG2" s="23">
        <v>3.0</v>
      </c>
      <c r="AH2" s="23">
        <v>4.0</v>
      </c>
      <c r="AI2" s="23">
        <v>5.0</v>
      </c>
      <c r="AJ2" s="23">
        <v>6.0</v>
      </c>
      <c r="AK2" s="19"/>
      <c r="AL2" s="19"/>
      <c r="AM2" s="19"/>
      <c r="AN2" s="19"/>
      <c r="AO2" s="19"/>
      <c r="AP2" s="18"/>
    </row>
    <row r="3">
      <c r="A3" s="24"/>
      <c r="B3" s="24"/>
      <c r="C3" s="24"/>
      <c r="D3" s="25">
        <v>1.0</v>
      </c>
      <c r="E3" s="25">
        <v>2.0</v>
      </c>
      <c r="F3" s="25">
        <v>3.0</v>
      </c>
      <c r="G3" s="25">
        <v>4.0</v>
      </c>
      <c r="H3" s="25">
        <v>5.0</v>
      </c>
      <c r="I3" s="25">
        <v>6.0</v>
      </c>
      <c r="J3" s="25">
        <v>7.0</v>
      </c>
      <c r="K3" s="25">
        <v>8.0</v>
      </c>
      <c r="L3" s="25">
        <v>9.0</v>
      </c>
      <c r="M3" s="25">
        <v>10.0</v>
      </c>
      <c r="N3" s="24"/>
      <c r="O3" s="24"/>
      <c r="P3" s="27"/>
      <c r="Q3" s="27"/>
      <c r="R3" s="27"/>
      <c r="S3" s="27"/>
      <c r="T3" s="27"/>
      <c r="U3" s="27"/>
      <c r="V3" s="27"/>
      <c r="W3" s="24"/>
      <c r="X3" s="28"/>
      <c r="Y3" s="28"/>
      <c r="Z3" s="28"/>
      <c r="AA3" s="28"/>
      <c r="AB3" s="28"/>
      <c r="AC3" s="28"/>
      <c r="AD3" s="24"/>
      <c r="AE3" s="29"/>
      <c r="AF3" s="29"/>
      <c r="AG3" s="29"/>
      <c r="AH3" s="29"/>
      <c r="AI3" s="29"/>
      <c r="AJ3" s="29"/>
      <c r="AK3" s="24"/>
      <c r="AL3" s="24"/>
      <c r="AM3" s="24"/>
      <c r="AN3" s="24"/>
      <c r="AO3" s="24"/>
      <c r="AP3" s="18" t="s">
        <v>58</v>
      </c>
    </row>
    <row r="4">
      <c r="A4" s="30">
        <v>1.0</v>
      </c>
      <c r="B4" s="31">
        <v>6.0200125003E10</v>
      </c>
      <c r="C4" s="32" t="s">
        <v>59</v>
      </c>
      <c r="D4" s="33">
        <v>0.0</v>
      </c>
      <c r="E4" s="33">
        <v>0.0</v>
      </c>
      <c r="F4" s="33">
        <v>0.0</v>
      </c>
      <c r="G4" s="33">
        <v>0.0</v>
      </c>
      <c r="H4" s="33">
        <v>0.0</v>
      </c>
      <c r="I4" s="33">
        <v>0.0</v>
      </c>
      <c r="J4" s="33">
        <v>0.0</v>
      </c>
      <c r="K4" s="33">
        <v>0.0</v>
      </c>
      <c r="L4" s="33">
        <f t="shared" ref="L4:L37" si="1">IF(AL4&gt;1,1,0)</f>
        <v>0</v>
      </c>
      <c r="M4" s="33">
        <v>0.0</v>
      </c>
      <c r="N4" s="34">
        <f t="shared" ref="N4:N37" si="2">SUM(D4:M4)</f>
        <v>0</v>
      </c>
      <c r="O4" s="34">
        <f t="shared" ref="O4:O37" si="3">(N4*10)</f>
        <v>0</v>
      </c>
      <c r="P4" s="35">
        <v>0.0</v>
      </c>
      <c r="Q4" s="36">
        <v>0.0</v>
      </c>
      <c r="R4" s="36">
        <v>0.0</v>
      </c>
      <c r="S4" s="35">
        <v>0.0</v>
      </c>
      <c r="T4" s="35">
        <v>0.0</v>
      </c>
      <c r="U4" s="35">
        <v>0.0</v>
      </c>
      <c r="V4" s="35">
        <f>IF(I4 = 1,70,0)</f>
        <v>0</v>
      </c>
      <c r="W4" s="37">
        <f>AVERAGE(P4:V4)</f>
        <v>0</v>
      </c>
      <c r="X4" s="35">
        <v>0.0</v>
      </c>
      <c r="Y4" s="36">
        <v>0.0</v>
      </c>
      <c r="Z4" s="36">
        <v>0.0</v>
      </c>
      <c r="AA4" s="36">
        <v>0.0</v>
      </c>
      <c r="AB4" s="36">
        <v>0.0</v>
      </c>
      <c r="AC4" s="36">
        <v>0.0</v>
      </c>
      <c r="AD4" s="37">
        <f t="shared" ref="AD4:AD37" si="4">ROUND(SUM(X4:AC4)/6,0)</f>
        <v>0</v>
      </c>
      <c r="AE4" s="35">
        <v>0.0</v>
      </c>
      <c r="AF4" s="36">
        <v>0.0</v>
      </c>
      <c r="AG4" s="36">
        <v>0.0</v>
      </c>
      <c r="AH4" s="36">
        <v>0.0</v>
      </c>
      <c r="AI4" s="36">
        <v>0.0</v>
      </c>
      <c r="AJ4" s="36">
        <v>0.0</v>
      </c>
      <c r="AK4" s="36">
        <f>ROUND(SUM(AE4:AJ4)/6,0)</f>
        <v>0</v>
      </c>
      <c r="AL4" s="38">
        <v>0.0</v>
      </c>
      <c r="AM4" s="39">
        <v>0.0</v>
      </c>
      <c r="AN4" s="40">
        <f t="shared" ref="AN4:AN37" si="5">(AL4*0.6)+(AM4 * 0.4)</f>
        <v>0</v>
      </c>
      <c r="AO4" s="40">
        <f t="shared" ref="AO4:AO37" si="6">ROUND((O4*0.1)+(W4*0.35)+(AD4*0.15)+(AK4*0.15)+(AN4*0.25),0)</f>
        <v>0</v>
      </c>
      <c r="AP4" s="41" t="str">
        <f t="shared" ref="AP4:AP37" si="7">IF(AO4&gt;=85,"A",IF(AO4&gt;=75,"B",IF(AO4&gt;=65,"C",IF(AO4&gt;=50,"D","E"))))</f>
        <v>E</v>
      </c>
    </row>
    <row r="5">
      <c r="A5" s="42">
        <v>2.0</v>
      </c>
      <c r="B5" s="43">
        <v>6.020012501E10</v>
      </c>
      <c r="C5" s="44" t="s">
        <v>60</v>
      </c>
      <c r="D5" s="45">
        <v>1.0</v>
      </c>
      <c r="E5" s="45">
        <v>1.0</v>
      </c>
      <c r="F5" s="45">
        <v>1.0</v>
      </c>
      <c r="G5" s="45">
        <v>1.0</v>
      </c>
      <c r="H5" s="45">
        <v>1.0</v>
      </c>
      <c r="I5" s="45">
        <v>1.0</v>
      </c>
      <c r="J5" s="45">
        <v>1.0</v>
      </c>
      <c r="K5" s="45">
        <v>1.0</v>
      </c>
      <c r="L5" s="45">
        <f t="shared" si="1"/>
        <v>1</v>
      </c>
      <c r="M5" s="45">
        <v>1.0</v>
      </c>
      <c r="N5" s="46">
        <f t="shared" si="2"/>
        <v>10</v>
      </c>
      <c r="O5" s="46">
        <f t="shared" si="3"/>
        <v>100</v>
      </c>
      <c r="P5" s="47">
        <v>87.5</v>
      </c>
      <c r="Q5" s="47">
        <v>87.5</v>
      </c>
      <c r="R5" s="47">
        <v>87.0</v>
      </c>
      <c r="S5" s="47">
        <v>82.5</v>
      </c>
      <c r="T5" s="47">
        <v>86.5</v>
      </c>
      <c r="U5" s="95">
        <v>91.5</v>
      </c>
      <c r="V5" s="95">
        <v>90.0</v>
      </c>
      <c r="W5" s="48">
        <f t="shared" ref="W5:W24" si="8">ROUND(AVERAGE(P5:V5),0)</f>
        <v>88</v>
      </c>
      <c r="X5" s="96">
        <v>88.0</v>
      </c>
      <c r="Y5" s="96">
        <v>88.0</v>
      </c>
      <c r="Z5" s="96">
        <v>86.0</v>
      </c>
      <c r="AA5" s="96">
        <v>85.0</v>
      </c>
      <c r="AB5" s="97">
        <v>66.0</v>
      </c>
      <c r="AC5" s="97">
        <v>85.0</v>
      </c>
      <c r="AD5" s="98">
        <f t="shared" si="4"/>
        <v>83</v>
      </c>
      <c r="AE5" s="99">
        <v>88.0</v>
      </c>
      <c r="AF5" s="99">
        <v>88.0</v>
      </c>
      <c r="AG5" s="99">
        <v>86.0</v>
      </c>
      <c r="AH5" s="99">
        <v>85.0</v>
      </c>
      <c r="AI5" s="100">
        <v>66.0</v>
      </c>
      <c r="AJ5" s="100">
        <v>85.0</v>
      </c>
      <c r="AK5" s="100">
        <f t="shared" ref="AK5:AK11" si="9">ROUND(AVERAGE(AE5:AJ5),0)</f>
        <v>83</v>
      </c>
      <c r="AL5" s="53">
        <v>88.0</v>
      </c>
      <c r="AM5" s="54">
        <v>85.0</v>
      </c>
      <c r="AN5" s="53">
        <f t="shared" si="5"/>
        <v>86.8</v>
      </c>
      <c r="AO5" s="56">
        <f t="shared" si="6"/>
        <v>87</v>
      </c>
      <c r="AP5" s="57" t="str">
        <f t="shared" si="7"/>
        <v>A</v>
      </c>
    </row>
    <row r="6">
      <c r="A6" s="42">
        <v>3.0</v>
      </c>
      <c r="B6" s="43">
        <v>6.0200125011E10</v>
      </c>
      <c r="C6" s="44" t="s">
        <v>61</v>
      </c>
      <c r="D6" s="45">
        <v>1.0</v>
      </c>
      <c r="E6" s="45">
        <v>1.0</v>
      </c>
      <c r="F6" s="45">
        <v>1.0</v>
      </c>
      <c r="G6" s="45">
        <v>1.0</v>
      </c>
      <c r="H6" s="45">
        <v>1.0</v>
      </c>
      <c r="I6" s="45">
        <v>1.0</v>
      </c>
      <c r="J6" s="45">
        <v>1.0</v>
      </c>
      <c r="K6" s="45">
        <v>1.0</v>
      </c>
      <c r="L6" s="45">
        <f t="shared" si="1"/>
        <v>1</v>
      </c>
      <c r="M6" s="45">
        <v>0.5</v>
      </c>
      <c r="N6" s="46">
        <f t="shared" si="2"/>
        <v>9.5</v>
      </c>
      <c r="O6" s="46">
        <f t="shared" si="3"/>
        <v>95</v>
      </c>
      <c r="P6" s="47">
        <v>84.5</v>
      </c>
      <c r="Q6" s="47">
        <v>84.5</v>
      </c>
      <c r="R6" s="47">
        <v>86.5</v>
      </c>
      <c r="S6" s="47">
        <v>86.0</v>
      </c>
      <c r="T6" s="47">
        <v>87.0</v>
      </c>
      <c r="U6" s="95">
        <v>90.5</v>
      </c>
      <c r="V6" s="95">
        <v>80.0</v>
      </c>
      <c r="W6" s="48">
        <f t="shared" si="8"/>
        <v>86</v>
      </c>
      <c r="X6" s="96">
        <v>85.0</v>
      </c>
      <c r="Y6" s="96">
        <v>86.0</v>
      </c>
      <c r="Z6" s="96">
        <v>85.0</v>
      </c>
      <c r="AA6" s="96">
        <v>82.0</v>
      </c>
      <c r="AB6" s="97">
        <v>86.0</v>
      </c>
      <c r="AC6" s="97">
        <v>86.0</v>
      </c>
      <c r="AD6" s="98">
        <f t="shared" si="4"/>
        <v>85</v>
      </c>
      <c r="AE6" s="99">
        <v>85.0</v>
      </c>
      <c r="AF6" s="99">
        <v>86.0</v>
      </c>
      <c r="AG6" s="99">
        <v>85.0</v>
      </c>
      <c r="AH6" s="99">
        <v>82.0</v>
      </c>
      <c r="AI6" s="100">
        <v>0.0</v>
      </c>
      <c r="AJ6" s="100">
        <v>86.0</v>
      </c>
      <c r="AK6" s="100">
        <f t="shared" si="9"/>
        <v>71</v>
      </c>
      <c r="AL6" s="53">
        <v>75.0</v>
      </c>
      <c r="AM6" s="54">
        <v>57.0</v>
      </c>
      <c r="AN6" s="53">
        <f t="shared" si="5"/>
        <v>67.8</v>
      </c>
      <c r="AO6" s="56">
        <f t="shared" si="6"/>
        <v>80</v>
      </c>
      <c r="AP6" s="57" t="str">
        <f t="shared" si="7"/>
        <v>B</v>
      </c>
    </row>
    <row r="7">
      <c r="A7" s="42">
        <v>4.0</v>
      </c>
      <c r="B7" s="43">
        <v>6.0200125022E10</v>
      </c>
      <c r="C7" s="44" t="s">
        <v>62</v>
      </c>
      <c r="D7" s="45">
        <v>1.0</v>
      </c>
      <c r="E7" s="45">
        <v>1.0</v>
      </c>
      <c r="F7" s="45">
        <v>1.0</v>
      </c>
      <c r="G7" s="45">
        <v>1.0</v>
      </c>
      <c r="H7" s="45">
        <v>1.0</v>
      </c>
      <c r="I7" s="45">
        <v>1.0</v>
      </c>
      <c r="J7" s="45">
        <v>1.0</v>
      </c>
      <c r="K7" s="45">
        <v>1.0</v>
      </c>
      <c r="L7" s="45">
        <f t="shared" si="1"/>
        <v>1</v>
      </c>
      <c r="M7" s="45">
        <v>1.0</v>
      </c>
      <c r="N7" s="46">
        <f t="shared" si="2"/>
        <v>10</v>
      </c>
      <c r="O7" s="46">
        <f t="shared" si="3"/>
        <v>100</v>
      </c>
      <c r="P7" s="47">
        <v>86.0</v>
      </c>
      <c r="Q7" s="47">
        <v>83.5</v>
      </c>
      <c r="R7" s="47">
        <v>84.25</v>
      </c>
      <c r="S7" s="47">
        <v>82.5</v>
      </c>
      <c r="T7" s="47">
        <v>85.0</v>
      </c>
      <c r="U7" s="95">
        <v>89.5</v>
      </c>
      <c r="V7" s="95">
        <v>80.0</v>
      </c>
      <c r="W7" s="48">
        <f t="shared" si="8"/>
        <v>84</v>
      </c>
      <c r="X7" s="96">
        <v>88.0</v>
      </c>
      <c r="Y7" s="96">
        <v>85.0</v>
      </c>
      <c r="Z7" s="96">
        <v>86.0</v>
      </c>
      <c r="AA7" s="96">
        <v>83.0</v>
      </c>
      <c r="AB7" s="97">
        <v>70.0</v>
      </c>
      <c r="AC7" s="97">
        <v>86.0</v>
      </c>
      <c r="AD7" s="98">
        <f t="shared" si="4"/>
        <v>83</v>
      </c>
      <c r="AE7" s="99">
        <v>88.0</v>
      </c>
      <c r="AF7" s="99">
        <v>85.0</v>
      </c>
      <c r="AG7" s="99">
        <v>86.0</v>
      </c>
      <c r="AH7" s="99">
        <v>83.0</v>
      </c>
      <c r="AI7" s="100">
        <v>70.0</v>
      </c>
      <c r="AJ7" s="100">
        <v>86.0</v>
      </c>
      <c r="AK7" s="100">
        <f t="shared" si="9"/>
        <v>83</v>
      </c>
      <c r="AL7" s="55">
        <v>75.0</v>
      </c>
      <c r="AM7" s="54">
        <v>60.0</v>
      </c>
      <c r="AN7" s="53">
        <f t="shared" si="5"/>
        <v>69</v>
      </c>
      <c r="AO7" s="56">
        <f t="shared" si="6"/>
        <v>82</v>
      </c>
      <c r="AP7" s="57" t="str">
        <f t="shared" si="7"/>
        <v>B</v>
      </c>
    </row>
    <row r="8">
      <c r="A8" s="42">
        <v>5.0</v>
      </c>
      <c r="B8" s="43">
        <v>6.0200125023E10</v>
      </c>
      <c r="C8" s="44" t="s">
        <v>63</v>
      </c>
      <c r="D8" s="45">
        <v>1.0</v>
      </c>
      <c r="E8" s="45">
        <v>1.0</v>
      </c>
      <c r="F8" s="45">
        <v>1.0</v>
      </c>
      <c r="G8" s="45">
        <v>1.0</v>
      </c>
      <c r="H8" s="45">
        <v>1.0</v>
      </c>
      <c r="I8" s="45">
        <v>1.0</v>
      </c>
      <c r="J8" s="45">
        <v>1.0</v>
      </c>
      <c r="K8" s="45">
        <v>1.0</v>
      </c>
      <c r="L8" s="45">
        <f t="shared" si="1"/>
        <v>1</v>
      </c>
      <c r="M8" s="45">
        <v>1.0</v>
      </c>
      <c r="N8" s="46">
        <f t="shared" si="2"/>
        <v>10</v>
      </c>
      <c r="O8" s="46">
        <f t="shared" si="3"/>
        <v>100</v>
      </c>
      <c r="P8" s="47">
        <v>86.0</v>
      </c>
      <c r="Q8" s="47">
        <v>86.5</v>
      </c>
      <c r="R8" s="47">
        <v>81.5</v>
      </c>
      <c r="S8" s="47">
        <v>80.5</v>
      </c>
      <c r="T8" s="47">
        <v>85.0</v>
      </c>
      <c r="U8" s="95">
        <v>92.5</v>
      </c>
      <c r="V8" s="95">
        <v>80.0</v>
      </c>
      <c r="W8" s="48">
        <f t="shared" si="8"/>
        <v>85</v>
      </c>
      <c r="X8" s="96">
        <v>90.0</v>
      </c>
      <c r="Y8" s="96">
        <v>85.0</v>
      </c>
      <c r="Z8" s="96">
        <v>85.0</v>
      </c>
      <c r="AA8" s="96">
        <v>83.0</v>
      </c>
      <c r="AB8" s="97">
        <v>83.0</v>
      </c>
      <c r="AC8" s="97">
        <v>85.0</v>
      </c>
      <c r="AD8" s="98">
        <f t="shared" si="4"/>
        <v>85</v>
      </c>
      <c r="AE8" s="99">
        <v>90.0</v>
      </c>
      <c r="AF8" s="99">
        <v>85.0</v>
      </c>
      <c r="AG8" s="99">
        <v>85.0</v>
      </c>
      <c r="AH8" s="99">
        <v>83.0</v>
      </c>
      <c r="AI8" s="100">
        <v>83.0</v>
      </c>
      <c r="AJ8" s="100">
        <v>85.0</v>
      </c>
      <c r="AK8" s="100">
        <f t="shared" si="9"/>
        <v>85</v>
      </c>
      <c r="AL8" s="53">
        <v>74.0</v>
      </c>
      <c r="AM8" s="54">
        <v>82.0</v>
      </c>
      <c r="AN8" s="53">
        <f t="shared" si="5"/>
        <v>77.2</v>
      </c>
      <c r="AO8" s="56">
        <f t="shared" si="6"/>
        <v>85</v>
      </c>
      <c r="AP8" s="57" t="str">
        <f t="shared" si="7"/>
        <v>A</v>
      </c>
    </row>
    <row r="9">
      <c r="A9" s="42">
        <v>6.0</v>
      </c>
      <c r="B9" s="43">
        <v>6.0200125024E10</v>
      </c>
      <c r="C9" s="44" t="s">
        <v>64</v>
      </c>
      <c r="D9" s="45">
        <v>1.0</v>
      </c>
      <c r="E9" s="45">
        <v>1.0</v>
      </c>
      <c r="F9" s="45">
        <v>1.0</v>
      </c>
      <c r="G9" s="45">
        <v>1.0</v>
      </c>
      <c r="H9" s="45">
        <v>1.0</v>
      </c>
      <c r="I9" s="45">
        <v>1.0</v>
      </c>
      <c r="J9" s="45">
        <v>1.0</v>
      </c>
      <c r="K9" s="45">
        <v>1.0</v>
      </c>
      <c r="L9" s="45">
        <f t="shared" si="1"/>
        <v>1</v>
      </c>
      <c r="M9" s="45">
        <v>1.0</v>
      </c>
      <c r="N9" s="46">
        <f t="shared" si="2"/>
        <v>10</v>
      </c>
      <c r="O9" s="46">
        <f t="shared" si="3"/>
        <v>100</v>
      </c>
      <c r="P9" s="47">
        <v>86.0</v>
      </c>
      <c r="Q9" s="47">
        <v>84.0</v>
      </c>
      <c r="R9" s="47">
        <v>85.5</v>
      </c>
      <c r="S9" s="47">
        <v>82.5</v>
      </c>
      <c r="T9" s="47">
        <v>85.0</v>
      </c>
      <c r="U9" s="95">
        <v>90.5</v>
      </c>
      <c r="V9" s="95">
        <v>80.0</v>
      </c>
      <c r="W9" s="48">
        <f t="shared" si="8"/>
        <v>85</v>
      </c>
      <c r="X9" s="96">
        <v>87.0</v>
      </c>
      <c r="Y9" s="96">
        <v>85.0</v>
      </c>
      <c r="Z9" s="96">
        <v>90.0</v>
      </c>
      <c r="AA9" s="96">
        <v>82.0</v>
      </c>
      <c r="AB9" s="97">
        <v>85.0</v>
      </c>
      <c r="AC9" s="97">
        <v>86.0</v>
      </c>
      <c r="AD9" s="98">
        <f t="shared" si="4"/>
        <v>86</v>
      </c>
      <c r="AE9" s="99">
        <v>87.0</v>
      </c>
      <c r="AF9" s="99">
        <v>85.0</v>
      </c>
      <c r="AG9" s="99">
        <v>90.0</v>
      </c>
      <c r="AH9" s="99">
        <v>82.0</v>
      </c>
      <c r="AI9" s="100">
        <v>66.0</v>
      </c>
      <c r="AJ9" s="100">
        <v>86.0</v>
      </c>
      <c r="AK9" s="100">
        <f t="shared" si="9"/>
        <v>83</v>
      </c>
      <c r="AL9" s="53">
        <v>78.0</v>
      </c>
      <c r="AM9" s="54">
        <v>82.0</v>
      </c>
      <c r="AN9" s="53">
        <f t="shared" si="5"/>
        <v>79.6</v>
      </c>
      <c r="AO9" s="56">
        <f t="shared" si="6"/>
        <v>85</v>
      </c>
      <c r="AP9" s="57" t="str">
        <f t="shared" si="7"/>
        <v>A</v>
      </c>
    </row>
    <row r="10">
      <c r="A10" s="42">
        <v>7.0</v>
      </c>
      <c r="B10" s="43">
        <v>6.0200125038E10</v>
      </c>
      <c r="C10" s="44" t="s">
        <v>65</v>
      </c>
      <c r="D10" s="45">
        <v>1.0</v>
      </c>
      <c r="E10" s="45">
        <v>1.0</v>
      </c>
      <c r="F10" s="45">
        <v>1.0</v>
      </c>
      <c r="G10" s="45">
        <v>1.0</v>
      </c>
      <c r="H10" s="45">
        <v>1.0</v>
      </c>
      <c r="I10" s="45">
        <v>0.0</v>
      </c>
      <c r="J10" s="45">
        <v>0.0</v>
      </c>
      <c r="K10" s="45">
        <v>1.0</v>
      </c>
      <c r="L10" s="45">
        <f t="shared" si="1"/>
        <v>1</v>
      </c>
      <c r="M10" s="45">
        <v>1.0</v>
      </c>
      <c r="N10" s="46">
        <f t="shared" si="2"/>
        <v>8</v>
      </c>
      <c r="O10" s="46">
        <f t="shared" si="3"/>
        <v>80</v>
      </c>
      <c r="P10" s="47">
        <v>80.5</v>
      </c>
      <c r="Q10" s="47">
        <v>81.5</v>
      </c>
      <c r="R10" s="47">
        <v>50.0</v>
      </c>
      <c r="S10" s="47">
        <v>82.5</v>
      </c>
      <c r="T10" s="47">
        <v>84.5</v>
      </c>
      <c r="U10" s="95">
        <v>89.5</v>
      </c>
      <c r="V10" s="95">
        <v>65.0</v>
      </c>
      <c r="W10" s="48">
        <f t="shared" si="8"/>
        <v>76</v>
      </c>
      <c r="X10" s="96">
        <v>86.0</v>
      </c>
      <c r="Y10" s="96">
        <v>70.0</v>
      </c>
      <c r="Z10" s="96">
        <v>87.0</v>
      </c>
      <c r="AA10" s="96">
        <v>85.0</v>
      </c>
      <c r="AB10" s="97">
        <v>84.0</v>
      </c>
      <c r="AC10" s="97">
        <v>82.0</v>
      </c>
      <c r="AD10" s="98">
        <f t="shared" si="4"/>
        <v>82</v>
      </c>
      <c r="AE10" s="99">
        <v>86.0</v>
      </c>
      <c r="AF10" s="99">
        <v>70.0</v>
      </c>
      <c r="AG10" s="99">
        <v>87.0</v>
      </c>
      <c r="AH10" s="99">
        <v>85.0</v>
      </c>
      <c r="AI10" s="100">
        <v>0.0</v>
      </c>
      <c r="AJ10" s="100">
        <v>0.0</v>
      </c>
      <c r="AK10" s="100">
        <f t="shared" si="9"/>
        <v>55</v>
      </c>
      <c r="AL10" s="53">
        <v>70.0</v>
      </c>
      <c r="AM10" s="54">
        <v>57.0</v>
      </c>
      <c r="AN10" s="53">
        <f t="shared" si="5"/>
        <v>64.8</v>
      </c>
      <c r="AO10" s="56">
        <f t="shared" si="6"/>
        <v>71</v>
      </c>
      <c r="AP10" s="57" t="str">
        <f t="shared" si="7"/>
        <v>C</v>
      </c>
    </row>
    <row r="11">
      <c r="A11" s="59">
        <v>8.0</v>
      </c>
      <c r="B11" s="43">
        <v>6.0200125039E10</v>
      </c>
      <c r="C11" s="44" t="s">
        <v>66</v>
      </c>
      <c r="D11" s="45">
        <v>0.0</v>
      </c>
      <c r="E11" s="45">
        <v>1.0</v>
      </c>
      <c r="F11" s="45">
        <v>1.0</v>
      </c>
      <c r="G11" s="45">
        <v>1.0</v>
      </c>
      <c r="H11" s="45">
        <v>1.0</v>
      </c>
      <c r="I11" s="45">
        <v>1.0</v>
      </c>
      <c r="J11" s="45">
        <v>1.0</v>
      </c>
      <c r="K11" s="45">
        <v>1.0</v>
      </c>
      <c r="L11" s="45">
        <f t="shared" si="1"/>
        <v>1</v>
      </c>
      <c r="M11" s="45">
        <v>1.0</v>
      </c>
      <c r="N11" s="46">
        <f t="shared" si="2"/>
        <v>9</v>
      </c>
      <c r="O11" s="46">
        <f t="shared" si="3"/>
        <v>90</v>
      </c>
      <c r="P11" s="47">
        <v>85.0</v>
      </c>
      <c r="Q11" s="47">
        <v>84.5</v>
      </c>
      <c r="R11" s="47">
        <v>84.0</v>
      </c>
      <c r="S11" s="47">
        <v>83.0</v>
      </c>
      <c r="T11" s="47">
        <v>85.0</v>
      </c>
      <c r="U11" s="95">
        <v>90.5</v>
      </c>
      <c r="V11" s="95">
        <v>80.0</v>
      </c>
      <c r="W11" s="48">
        <f t="shared" si="8"/>
        <v>85</v>
      </c>
      <c r="X11" s="96">
        <v>90.0</v>
      </c>
      <c r="Y11" s="96">
        <v>90.0</v>
      </c>
      <c r="Z11" s="96">
        <v>85.0</v>
      </c>
      <c r="AA11" s="96">
        <v>85.0</v>
      </c>
      <c r="AB11" s="97">
        <v>84.0</v>
      </c>
      <c r="AC11" s="97">
        <v>86.0</v>
      </c>
      <c r="AD11" s="98">
        <f t="shared" si="4"/>
        <v>87</v>
      </c>
      <c r="AE11" s="99">
        <v>90.0</v>
      </c>
      <c r="AF11" s="99">
        <v>90.0</v>
      </c>
      <c r="AG11" s="99">
        <v>85.0</v>
      </c>
      <c r="AH11" s="99">
        <v>85.0</v>
      </c>
      <c r="AI11" s="100">
        <v>84.0</v>
      </c>
      <c r="AJ11" s="100">
        <v>86.0</v>
      </c>
      <c r="AK11" s="100">
        <f t="shared" si="9"/>
        <v>87</v>
      </c>
      <c r="AL11" s="55">
        <v>80.0</v>
      </c>
      <c r="AM11" s="54">
        <v>57.0</v>
      </c>
      <c r="AN11" s="53">
        <f t="shared" si="5"/>
        <v>70.8</v>
      </c>
      <c r="AO11" s="56">
        <f t="shared" si="6"/>
        <v>83</v>
      </c>
      <c r="AP11" s="57" t="str">
        <f t="shared" si="7"/>
        <v>B</v>
      </c>
    </row>
    <row r="12">
      <c r="A12" s="42">
        <v>9.0</v>
      </c>
      <c r="B12" s="43">
        <v>6.020012504E10</v>
      </c>
      <c r="C12" s="44" t="s">
        <v>67</v>
      </c>
      <c r="D12" s="45">
        <v>1.0</v>
      </c>
      <c r="E12" s="45">
        <v>1.0</v>
      </c>
      <c r="F12" s="45">
        <v>1.0</v>
      </c>
      <c r="G12" s="45">
        <v>1.0</v>
      </c>
      <c r="H12" s="45">
        <v>1.0</v>
      </c>
      <c r="I12" s="45">
        <v>1.0</v>
      </c>
      <c r="J12" s="45">
        <v>1.0</v>
      </c>
      <c r="K12" s="45">
        <v>1.0</v>
      </c>
      <c r="L12" s="45">
        <f t="shared" si="1"/>
        <v>1</v>
      </c>
      <c r="M12" s="45">
        <v>1.0</v>
      </c>
      <c r="N12" s="46">
        <f t="shared" si="2"/>
        <v>10</v>
      </c>
      <c r="O12" s="46">
        <f t="shared" si="3"/>
        <v>100</v>
      </c>
      <c r="P12" s="47">
        <v>82.5</v>
      </c>
      <c r="Q12" s="47">
        <v>83.5</v>
      </c>
      <c r="R12" s="47">
        <v>86.0</v>
      </c>
      <c r="S12" s="47">
        <v>86.0</v>
      </c>
      <c r="T12" s="47">
        <v>88.0</v>
      </c>
      <c r="U12" s="95">
        <v>89.0</v>
      </c>
      <c r="V12" s="95">
        <v>80.0</v>
      </c>
      <c r="W12" s="48">
        <f t="shared" si="8"/>
        <v>85</v>
      </c>
      <c r="X12" s="96">
        <v>87.0</v>
      </c>
      <c r="Y12" s="96">
        <v>86.0</v>
      </c>
      <c r="Z12" s="96">
        <v>90.0</v>
      </c>
      <c r="AA12" s="96">
        <v>87.0</v>
      </c>
      <c r="AB12" s="97">
        <v>66.0</v>
      </c>
      <c r="AC12" s="97">
        <v>86.0</v>
      </c>
      <c r="AD12" s="98">
        <f t="shared" si="4"/>
        <v>84</v>
      </c>
      <c r="AE12" s="99">
        <v>87.0</v>
      </c>
      <c r="AF12" s="99">
        <v>0.0</v>
      </c>
      <c r="AG12" s="99">
        <v>86.0</v>
      </c>
      <c r="AH12" s="99">
        <v>85.0</v>
      </c>
      <c r="AI12" s="100">
        <v>66.0</v>
      </c>
      <c r="AJ12" s="100">
        <v>86.0</v>
      </c>
      <c r="AK12" s="100">
        <f t="shared" ref="AK12:AK37" si="10">ROUND(SUM(AE12:AJ12)/6,0)</f>
        <v>68</v>
      </c>
      <c r="AL12" s="53">
        <v>83.0</v>
      </c>
      <c r="AM12" s="54">
        <v>52.0</v>
      </c>
      <c r="AN12" s="53">
        <f t="shared" si="5"/>
        <v>70.6</v>
      </c>
      <c r="AO12" s="56">
        <f t="shared" si="6"/>
        <v>80</v>
      </c>
      <c r="AP12" s="57" t="str">
        <f t="shared" si="7"/>
        <v>B</v>
      </c>
    </row>
    <row r="13">
      <c r="A13" s="42">
        <v>10.0</v>
      </c>
      <c r="B13" s="43">
        <v>6.0200125046E10</v>
      </c>
      <c r="C13" s="44" t="s">
        <v>68</v>
      </c>
      <c r="D13" s="45">
        <v>1.0</v>
      </c>
      <c r="E13" s="45">
        <v>1.0</v>
      </c>
      <c r="F13" s="45">
        <v>1.0</v>
      </c>
      <c r="G13" s="45">
        <v>1.0</v>
      </c>
      <c r="H13" s="45">
        <v>1.0</v>
      </c>
      <c r="I13" s="45">
        <v>0.0</v>
      </c>
      <c r="J13" s="45">
        <v>1.0</v>
      </c>
      <c r="K13" s="45">
        <v>1.0</v>
      </c>
      <c r="L13" s="45">
        <f t="shared" si="1"/>
        <v>1</v>
      </c>
      <c r="M13" s="45">
        <v>1.0</v>
      </c>
      <c r="N13" s="46">
        <f t="shared" si="2"/>
        <v>9</v>
      </c>
      <c r="O13" s="46">
        <f t="shared" si="3"/>
        <v>90</v>
      </c>
      <c r="P13" s="47">
        <v>85.0</v>
      </c>
      <c r="Q13" s="47">
        <v>82.5</v>
      </c>
      <c r="R13" s="47">
        <v>84.5</v>
      </c>
      <c r="S13" s="47">
        <v>83.5</v>
      </c>
      <c r="T13" s="47">
        <v>85.5</v>
      </c>
      <c r="U13" s="95">
        <v>89.0</v>
      </c>
      <c r="V13" s="95">
        <v>65.0</v>
      </c>
      <c r="W13" s="48">
        <f t="shared" si="8"/>
        <v>82</v>
      </c>
      <c r="X13" s="96">
        <v>86.0</v>
      </c>
      <c r="Y13" s="96">
        <v>70.0</v>
      </c>
      <c r="Z13" s="96">
        <v>87.0</v>
      </c>
      <c r="AA13" s="96">
        <v>88.0</v>
      </c>
      <c r="AB13" s="97">
        <v>66.0</v>
      </c>
      <c r="AC13" s="97">
        <v>85.0</v>
      </c>
      <c r="AD13" s="98">
        <f t="shared" si="4"/>
        <v>80</v>
      </c>
      <c r="AE13" s="99">
        <v>86.0</v>
      </c>
      <c r="AF13" s="99">
        <v>70.0</v>
      </c>
      <c r="AG13" s="99">
        <v>87.0</v>
      </c>
      <c r="AH13" s="99">
        <v>88.0</v>
      </c>
      <c r="AI13" s="100">
        <v>66.0</v>
      </c>
      <c r="AJ13" s="100">
        <v>0.0</v>
      </c>
      <c r="AK13" s="100">
        <f t="shared" si="10"/>
        <v>66</v>
      </c>
      <c r="AL13" s="53">
        <v>70.0</v>
      </c>
      <c r="AM13" s="54">
        <v>40.0</v>
      </c>
      <c r="AN13" s="53">
        <f t="shared" si="5"/>
        <v>58</v>
      </c>
      <c r="AO13" s="56">
        <f t="shared" si="6"/>
        <v>74</v>
      </c>
      <c r="AP13" s="57" t="str">
        <f t="shared" si="7"/>
        <v>C</v>
      </c>
    </row>
    <row r="14">
      <c r="A14" s="42">
        <v>11.0</v>
      </c>
      <c r="B14" s="43">
        <v>6.0200125059E10</v>
      </c>
      <c r="C14" s="44" t="s">
        <v>69</v>
      </c>
      <c r="D14" s="45">
        <v>0.0</v>
      </c>
      <c r="E14" s="45">
        <v>1.0</v>
      </c>
      <c r="F14" s="45">
        <v>1.0</v>
      </c>
      <c r="G14" s="45">
        <v>0.0</v>
      </c>
      <c r="H14" s="45">
        <v>1.0</v>
      </c>
      <c r="I14" s="45">
        <v>1.0</v>
      </c>
      <c r="J14" s="45">
        <v>1.0</v>
      </c>
      <c r="K14" s="45">
        <v>1.0</v>
      </c>
      <c r="L14" s="45">
        <f t="shared" si="1"/>
        <v>1</v>
      </c>
      <c r="M14" s="45">
        <v>1.0</v>
      </c>
      <c r="N14" s="46">
        <f t="shared" si="2"/>
        <v>8</v>
      </c>
      <c r="O14" s="46">
        <f t="shared" si="3"/>
        <v>80</v>
      </c>
      <c r="P14" s="47">
        <v>80.5</v>
      </c>
      <c r="Q14" s="47">
        <v>82.5</v>
      </c>
      <c r="R14" s="47">
        <v>50.0</v>
      </c>
      <c r="S14" s="47">
        <v>83.5</v>
      </c>
      <c r="T14" s="47">
        <v>82.0</v>
      </c>
      <c r="U14" s="95">
        <v>50.0</v>
      </c>
      <c r="V14" s="95">
        <v>80.0</v>
      </c>
      <c r="W14" s="48">
        <f t="shared" si="8"/>
        <v>73</v>
      </c>
      <c r="X14" s="96">
        <v>89.0</v>
      </c>
      <c r="Y14" s="96">
        <v>83.0</v>
      </c>
      <c r="Z14" s="96">
        <v>80.0</v>
      </c>
      <c r="AA14" s="96">
        <v>40.0</v>
      </c>
      <c r="AB14" s="97">
        <v>84.0</v>
      </c>
      <c r="AC14" s="97">
        <v>86.0</v>
      </c>
      <c r="AD14" s="98">
        <f t="shared" si="4"/>
        <v>77</v>
      </c>
      <c r="AE14" s="99">
        <v>89.0</v>
      </c>
      <c r="AF14" s="99">
        <v>83.0</v>
      </c>
      <c r="AG14" s="99">
        <v>0.0</v>
      </c>
      <c r="AH14" s="99">
        <v>0.0</v>
      </c>
      <c r="AI14" s="100">
        <v>84.0</v>
      </c>
      <c r="AJ14" s="100">
        <v>86.0</v>
      </c>
      <c r="AK14" s="100">
        <f t="shared" si="10"/>
        <v>57</v>
      </c>
      <c r="AL14" s="55">
        <v>70.0</v>
      </c>
      <c r="AM14" s="54">
        <v>50.0</v>
      </c>
      <c r="AN14" s="53">
        <f t="shared" si="5"/>
        <v>62</v>
      </c>
      <c r="AO14" s="56">
        <f t="shared" si="6"/>
        <v>69</v>
      </c>
      <c r="AP14" s="57" t="str">
        <f t="shared" si="7"/>
        <v>C</v>
      </c>
    </row>
    <row r="15">
      <c r="A15" s="42">
        <v>12.0</v>
      </c>
      <c r="B15" s="43">
        <v>6.020012506E10</v>
      </c>
      <c r="C15" s="44" t="s">
        <v>70</v>
      </c>
      <c r="D15" s="45">
        <v>1.0</v>
      </c>
      <c r="E15" s="45">
        <v>1.0</v>
      </c>
      <c r="F15" s="45">
        <v>1.0</v>
      </c>
      <c r="G15" s="45">
        <v>1.0</v>
      </c>
      <c r="H15" s="45">
        <v>1.0</v>
      </c>
      <c r="I15" s="45">
        <v>1.0</v>
      </c>
      <c r="J15" s="45">
        <v>1.0</v>
      </c>
      <c r="K15" s="45">
        <v>1.0</v>
      </c>
      <c r="L15" s="45">
        <f t="shared" si="1"/>
        <v>1</v>
      </c>
      <c r="M15" s="45">
        <v>1.0</v>
      </c>
      <c r="N15" s="46">
        <f t="shared" si="2"/>
        <v>10</v>
      </c>
      <c r="O15" s="46">
        <f t="shared" si="3"/>
        <v>100</v>
      </c>
      <c r="P15" s="47">
        <v>82.0</v>
      </c>
      <c r="Q15" s="47">
        <f>83/2 + 25</f>
        <v>66.5</v>
      </c>
      <c r="R15" s="47">
        <v>86.5</v>
      </c>
      <c r="S15" s="47">
        <v>83.5</v>
      </c>
      <c r="T15" s="47">
        <v>84.5</v>
      </c>
      <c r="U15" s="95">
        <v>90.0</v>
      </c>
      <c r="V15" s="95">
        <v>80.0</v>
      </c>
      <c r="W15" s="48">
        <f t="shared" si="8"/>
        <v>82</v>
      </c>
      <c r="X15" s="96">
        <v>80.0</v>
      </c>
      <c r="Y15" s="96">
        <f>83/2 + 25</f>
        <v>66.5</v>
      </c>
      <c r="Z15" s="96">
        <v>83.0</v>
      </c>
      <c r="AA15" s="96">
        <v>85.0</v>
      </c>
      <c r="AB15" s="97">
        <v>64.0</v>
      </c>
      <c r="AC15" s="97">
        <v>85.0</v>
      </c>
      <c r="AD15" s="98">
        <f t="shared" si="4"/>
        <v>77</v>
      </c>
      <c r="AE15" s="99">
        <v>80.0</v>
      </c>
      <c r="AF15" s="99">
        <v>83.0</v>
      </c>
      <c r="AG15" s="99">
        <v>83.0</v>
      </c>
      <c r="AH15" s="99">
        <v>85.0</v>
      </c>
      <c r="AI15" s="100">
        <v>69.0</v>
      </c>
      <c r="AJ15" s="100">
        <v>85.0</v>
      </c>
      <c r="AK15" s="100">
        <f t="shared" si="10"/>
        <v>81</v>
      </c>
      <c r="AL15" s="53">
        <v>85.0</v>
      </c>
      <c r="AM15" s="54">
        <v>80.0</v>
      </c>
      <c r="AN15" s="53">
        <f t="shared" si="5"/>
        <v>83</v>
      </c>
      <c r="AO15" s="56">
        <f t="shared" si="6"/>
        <v>83</v>
      </c>
      <c r="AP15" s="57" t="str">
        <f t="shared" si="7"/>
        <v>B</v>
      </c>
    </row>
    <row r="16">
      <c r="A16" s="42">
        <v>13.0</v>
      </c>
      <c r="B16" s="43">
        <v>6.0200125061E10</v>
      </c>
      <c r="C16" s="44" t="s">
        <v>71</v>
      </c>
      <c r="D16" s="45">
        <v>0.0</v>
      </c>
      <c r="E16" s="45">
        <v>1.0</v>
      </c>
      <c r="F16" s="45">
        <v>0.0</v>
      </c>
      <c r="G16" s="45">
        <v>0.0</v>
      </c>
      <c r="H16" s="45">
        <v>1.0</v>
      </c>
      <c r="I16" s="45">
        <v>0.0</v>
      </c>
      <c r="J16" s="45">
        <v>0.0</v>
      </c>
      <c r="K16" s="45">
        <v>0.0</v>
      </c>
      <c r="L16" s="45">
        <f t="shared" si="1"/>
        <v>1</v>
      </c>
      <c r="M16" s="45">
        <v>0.0</v>
      </c>
      <c r="N16" s="46">
        <f t="shared" si="2"/>
        <v>3</v>
      </c>
      <c r="O16" s="46">
        <f t="shared" si="3"/>
        <v>30</v>
      </c>
      <c r="P16" s="47">
        <v>0.0</v>
      </c>
      <c r="Q16" s="47">
        <v>0.0</v>
      </c>
      <c r="R16" s="47">
        <v>85.0</v>
      </c>
      <c r="S16" s="47">
        <v>0.0</v>
      </c>
      <c r="T16" s="47">
        <v>0.0</v>
      </c>
      <c r="U16" s="95">
        <v>0.0</v>
      </c>
      <c r="V16" s="95">
        <v>65.0</v>
      </c>
      <c r="W16" s="48">
        <f t="shared" si="8"/>
        <v>21</v>
      </c>
      <c r="X16" s="96">
        <v>80.0</v>
      </c>
      <c r="Y16" s="96">
        <v>0.0</v>
      </c>
      <c r="Z16" s="96">
        <v>0.0</v>
      </c>
      <c r="AA16" s="96">
        <v>86.0</v>
      </c>
      <c r="AB16" s="97">
        <v>0.0</v>
      </c>
      <c r="AC16" s="97">
        <v>0.0</v>
      </c>
      <c r="AD16" s="98">
        <f t="shared" si="4"/>
        <v>28</v>
      </c>
      <c r="AE16" s="99">
        <v>80.0</v>
      </c>
      <c r="AF16" s="99">
        <v>0.0</v>
      </c>
      <c r="AG16" s="99">
        <v>0.0</v>
      </c>
      <c r="AH16" s="99">
        <v>86.0</v>
      </c>
      <c r="AI16" s="100">
        <v>0.0</v>
      </c>
      <c r="AJ16" s="100">
        <v>0.0</v>
      </c>
      <c r="AK16" s="100">
        <f t="shared" si="10"/>
        <v>28</v>
      </c>
      <c r="AL16" s="55">
        <v>65.0</v>
      </c>
      <c r="AM16" s="54">
        <v>0.0</v>
      </c>
      <c r="AN16" s="53">
        <f t="shared" si="5"/>
        <v>39</v>
      </c>
      <c r="AO16" s="56">
        <f t="shared" si="6"/>
        <v>29</v>
      </c>
      <c r="AP16" s="41" t="str">
        <f t="shared" si="7"/>
        <v>E</v>
      </c>
    </row>
    <row r="17">
      <c r="A17" s="42">
        <v>14.0</v>
      </c>
      <c r="B17" s="43">
        <v>6.0200125062E10</v>
      </c>
      <c r="C17" s="44" t="s">
        <v>72</v>
      </c>
      <c r="D17" s="45">
        <v>1.0</v>
      </c>
      <c r="E17" s="45">
        <v>1.0</v>
      </c>
      <c r="F17" s="45">
        <v>1.0</v>
      </c>
      <c r="G17" s="45">
        <v>1.0</v>
      </c>
      <c r="H17" s="45">
        <v>0.5</v>
      </c>
      <c r="I17" s="45">
        <v>1.0</v>
      </c>
      <c r="J17" s="45">
        <v>1.0</v>
      </c>
      <c r="K17" s="45">
        <v>1.0</v>
      </c>
      <c r="L17" s="45">
        <f t="shared" si="1"/>
        <v>1</v>
      </c>
      <c r="M17" s="45">
        <v>1.0</v>
      </c>
      <c r="N17" s="46">
        <f t="shared" si="2"/>
        <v>9.5</v>
      </c>
      <c r="O17" s="46">
        <f t="shared" si="3"/>
        <v>95</v>
      </c>
      <c r="P17" s="47">
        <v>89.0</v>
      </c>
      <c r="Q17" s="47">
        <v>84.0</v>
      </c>
      <c r="R17" s="47">
        <v>86.5</v>
      </c>
      <c r="S17" s="47">
        <v>85.5</v>
      </c>
      <c r="T17" s="47">
        <v>83.5</v>
      </c>
      <c r="U17" s="95">
        <v>91.0</v>
      </c>
      <c r="V17" s="95">
        <v>80.0</v>
      </c>
      <c r="W17" s="48">
        <f t="shared" si="8"/>
        <v>86</v>
      </c>
      <c r="X17" s="96">
        <v>87.0</v>
      </c>
      <c r="Y17" s="96">
        <v>90.0</v>
      </c>
      <c r="Z17" s="96">
        <v>85.0</v>
      </c>
      <c r="AA17" s="96">
        <v>85.0</v>
      </c>
      <c r="AB17" s="97">
        <v>86.0</v>
      </c>
      <c r="AC17" s="97">
        <v>85.0</v>
      </c>
      <c r="AD17" s="98">
        <f t="shared" si="4"/>
        <v>86</v>
      </c>
      <c r="AE17" s="99">
        <v>87.0</v>
      </c>
      <c r="AF17" s="99">
        <v>90.0</v>
      </c>
      <c r="AG17" s="99">
        <v>85.0</v>
      </c>
      <c r="AH17" s="99">
        <v>0.0</v>
      </c>
      <c r="AI17" s="100">
        <v>66.0</v>
      </c>
      <c r="AJ17" s="100">
        <v>85.0</v>
      </c>
      <c r="AK17" s="100">
        <f t="shared" si="10"/>
        <v>69</v>
      </c>
      <c r="AL17" s="53">
        <v>80.0</v>
      </c>
      <c r="AM17" s="54">
        <v>52.0</v>
      </c>
      <c r="AN17" s="53">
        <f t="shared" si="5"/>
        <v>68.8</v>
      </c>
      <c r="AO17" s="56">
        <f t="shared" si="6"/>
        <v>80</v>
      </c>
      <c r="AP17" s="57" t="str">
        <f t="shared" si="7"/>
        <v>B</v>
      </c>
    </row>
    <row r="18">
      <c r="A18" s="42">
        <v>15.0</v>
      </c>
      <c r="B18" s="43">
        <v>6.0200125063E10</v>
      </c>
      <c r="C18" s="44" t="s">
        <v>73</v>
      </c>
      <c r="D18" s="45">
        <v>0.0</v>
      </c>
      <c r="E18" s="45">
        <v>1.0</v>
      </c>
      <c r="F18" s="45">
        <v>1.0</v>
      </c>
      <c r="G18" s="45">
        <v>0.0</v>
      </c>
      <c r="H18" s="45">
        <v>1.0</v>
      </c>
      <c r="I18" s="45">
        <v>0.0</v>
      </c>
      <c r="J18" s="45">
        <v>1.0</v>
      </c>
      <c r="K18" s="45">
        <v>0.0</v>
      </c>
      <c r="L18" s="45">
        <f t="shared" si="1"/>
        <v>1</v>
      </c>
      <c r="M18" s="45">
        <v>1.0</v>
      </c>
      <c r="N18" s="46">
        <f t="shared" si="2"/>
        <v>6</v>
      </c>
      <c r="O18" s="46">
        <f t="shared" si="3"/>
        <v>60</v>
      </c>
      <c r="P18" s="47">
        <v>82.5</v>
      </c>
      <c r="Q18" s="47">
        <v>0.0</v>
      </c>
      <c r="R18" s="47">
        <v>0.0</v>
      </c>
      <c r="S18" s="47">
        <v>0.0</v>
      </c>
      <c r="T18" s="47">
        <v>0.0</v>
      </c>
      <c r="U18" s="95">
        <v>0.0</v>
      </c>
      <c r="V18" s="95">
        <v>65.0</v>
      </c>
      <c r="W18" s="48">
        <f t="shared" si="8"/>
        <v>21</v>
      </c>
      <c r="X18" s="96">
        <v>85.0</v>
      </c>
      <c r="Y18" s="96">
        <v>86.0</v>
      </c>
      <c r="Z18" s="96">
        <v>0.0</v>
      </c>
      <c r="AA18" s="96">
        <v>85.0</v>
      </c>
      <c r="AB18" s="97">
        <v>83.0</v>
      </c>
      <c r="AC18" s="97">
        <v>85.0</v>
      </c>
      <c r="AD18" s="98">
        <f t="shared" si="4"/>
        <v>71</v>
      </c>
      <c r="AE18" s="99">
        <v>85.0</v>
      </c>
      <c r="AF18" s="99">
        <v>86.0</v>
      </c>
      <c r="AG18" s="99">
        <v>0.0</v>
      </c>
      <c r="AH18" s="99">
        <v>85.0</v>
      </c>
      <c r="AI18" s="100">
        <v>0.0</v>
      </c>
      <c r="AJ18" s="100">
        <v>85.0</v>
      </c>
      <c r="AK18" s="100">
        <f t="shared" si="10"/>
        <v>57</v>
      </c>
      <c r="AL18" s="53">
        <v>70.0</v>
      </c>
      <c r="AM18" s="54">
        <v>50.0</v>
      </c>
      <c r="AN18" s="53">
        <f t="shared" si="5"/>
        <v>62</v>
      </c>
      <c r="AO18" s="56">
        <f t="shared" si="6"/>
        <v>48</v>
      </c>
      <c r="AP18" s="41" t="str">
        <f t="shared" si="7"/>
        <v>E</v>
      </c>
    </row>
    <row r="19">
      <c r="A19" s="42">
        <v>16.0</v>
      </c>
      <c r="B19" s="43">
        <v>6.0200125073E10</v>
      </c>
      <c r="C19" s="44" t="s">
        <v>74</v>
      </c>
      <c r="D19" s="45">
        <v>0.0</v>
      </c>
      <c r="E19" s="45">
        <v>0.0</v>
      </c>
      <c r="F19" s="45">
        <v>0.5</v>
      </c>
      <c r="G19" s="45">
        <v>0.0</v>
      </c>
      <c r="H19" s="45">
        <v>1.0</v>
      </c>
      <c r="I19" s="45">
        <v>0.5</v>
      </c>
      <c r="J19" s="45">
        <v>1.0</v>
      </c>
      <c r="K19" s="45">
        <v>0.0</v>
      </c>
      <c r="L19" s="45">
        <f t="shared" si="1"/>
        <v>0</v>
      </c>
      <c r="M19" s="45">
        <v>1.0</v>
      </c>
      <c r="N19" s="46">
        <f t="shared" si="2"/>
        <v>4</v>
      </c>
      <c r="O19" s="46">
        <f t="shared" si="3"/>
        <v>40</v>
      </c>
      <c r="P19" s="47">
        <v>50.0</v>
      </c>
      <c r="Q19" s="47">
        <v>50.0</v>
      </c>
      <c r="R19" s="47">
        <v>50.0</v>
      </c>
      <c r="S19" s="47">
        <v>50.0</v>
      </c>
      <c r="T19" s="47">
        <v>50.0</v>
      </c>
      <c r="U19" s="95">
        <v>50.0</v>
      </c>
      <c r="V19" s="95">
        <v>65.0</v>
      </c>
      <c r="W19" s="48">
        <f t="shared" si="8"/>
        <v>52</v>
      </c>
      <c r="X19" s="96">
        <v>80.0</v>
      </c>
      <c r="Y19" s="96">
        <v>40.0</v>
      </c>
      <c r="Z19" s="96">
        <v>40.0</v>
      </c>
      <c r="AA19" s="96">
        <v>83.0</v>
      </c>
      <c r="AB19" s="97">
        <v>83.0</v>
      </c>
      <c r="AC19" s="97">
        <v>85.0</v>
      </c>
      <c r="AD19" s="98">
        <f t="shared" si="4"/>
        <v>69</v>
      </c>
      <c r="AE19" s="99">
        <v>0.0</v>
      </c>
      <c r="AF19" s="99">
        <v>0.0</v>
      </c>
      <c r="AG19" s="99">
        <v>0.0</v>
      </c>
      <c r="AH19" s="99">
        <v>83.0</v>
      </c>
      <c r="AI19" s="100">
        <v>0.0</v>
      </c>
      <c r="AJ19" s="100">
        <v>85.0</v>
      </c>
      <c r="AK19" s="100">
        <f t="shared" si="10"/>
        <v>28</v>
      </c>
      <c r="AL19" s="55">
        <v>0.0</v>
      </c>
      <c r="AM19" s="54">
        <v>82.0</v>
      </c>
      <c r="AN19" s="53">
        <f t="shared" si="5"/>
        <v>32.8</v>
      </c>
      <c r="AO19" s="56">
        <f t="shared" si="6"/>
        <v>45</v>
      </c>
      <c r="AP19" s="41" t="str">
        <f t="shared" si="7"/>
        <v>E</v>
      </c>
    </row>
    <row r="20">
      <c r="A20" s="42">
        <v>17.0</v>
      </c>
      <c r="B20" s="43">
        <v>6.0200125083E10</v>
      </c>
      <c r="C20" s="44" t="s">
        <v>75</v>
      </c>
      <c r="D20" s="45">
        <v>1.0</v>
      </c>
      <c r="E20" s="45">
        <v>1.0</v>
      </c>
      <c r="F20" s="45">
        <v>1.0</v>
      </c>
      <c r="G20" s="45">
        <v>1.0</v>
      </c>
      <c r="H20" s="45">
        <v>1.0</v>
      </c>
      <c r="I20" s="45">
        <v>1.0</v>
      </c>
      <c r="J20" s="45">
        <v>1.0</v>
      </c>
      <c r="K20" s="45">
        <v>1.0</v>
      </c>
      <c r="L20" s="45">
        <f t="shared" si="1"/>
        <v>1</v>
      </c>
      <c r="M20" s="45">
        <v>1.0</v>
      </c>
      <c r="N20" s="46">
        <f t="shared" si="2"/>
        <v>10</v>
      </c>
      <c r="O20" s="46">
        <f t="shared" si="3"/>
        <v>100</v>
      </c>
      <c r="P20" s="47">
        <v>85.0</v>
      </c>
      <c r="Q20" s="47">
        <v>85.0</v>
      </c>
      <c r="R20" s="47">
        <v>86.75</v>
      </c>
      <c r="S20" s="47">
        <v>82.5</v>
      </c>
      <c r="T20" s="47">
        <v>86.0</v>
      </c>
      <c r="U20" s="95">
        <v>91.5</v>
      </c>
      <c r="V20" s="95">
        <v>80.0</v>
      </c>
      <c r="W20" s="48">
        <f t="shared" si="8"/>
        <v>85</v>
      </c>
      <c r="X20" s="96">
        <v>90.0</v>
      </c>
      <c r="Y20" s="96">
        <v>85.0</v>
      </c>
      <c r="Z20" s="96">
        <v>90.0</v>
      </c>
      <c r="AA20" s="96">
        <v>88.0</v>
      </c>
      <c r="AB20" s="97">
        <v>86.0</v>
      </c>
      <c r="AC20" s="97">
        <v>85.0</v>
      </c>
      <c r="AD20" s="98">
        <f t="shared" si="4"/>
        <v>87</v>
      </c>
      <c r="AE20" s="99">
        <v>90.0</v>
      </c>
      <c r="AF20" s="99">
        <v>85.0</v>
      </c>
      <c r="AG20" s="99">
        <v>90.0</v>
      </c>
      <c r="AH20" s="99">
        <v>88.0</v>
      </c>
      <c r="AI20" s="100">
        <v>86.0</v>
      </c>
      <c r="AJ20" s="100">
        <v>85.0</v>
      </c>
      <c r="AK20" s="100">
        <f t="shared" si="10"/>
        <v>87</v>
      </c>
      <c r="AL20" s="53">
        <v>80.0</v>
      </c>
      <c r="AM20" s="54">
        <v>55.0</v>
      </c>
      <c r="AN20" s="53">
        <f t="shared" si="5"/>
        <v>70</v>
      </c>
      <c r="AO20" s="56">
        <f t="shared" si="6"/>
        <v>83</v>
      </c>
      <c r="AP20" s="57" t="str">
        <f t="shared" si="7"/>
        <v>B</v>
      </c>
    </row>
    <row r="21">
      <c r="A21" s="60">
        <v>18.0</v>
      </c>
      <c r="B21" s="43">
        <v>6.0200125084E10</v>
      </c>
      <c r="C21" s="44" t="s">
        <v>76</v>
      </c>
      <c r="D21" s="45">
        <v>0.0</v>
      </c>
      <c r="E21" s="45">
        <v>1.0</v>
      </c>
      <c r="F21" s="45">
        <v>1.0</v>
      </c>
      <c r="G21" s="45">
        <v>1.0</v>
      </c>
      <c r="H21" s="45">
        <v>0.0</v>
      </c>
      <c r="I21" s="45">
        <v>0.0</v>
      </c>
      <c r="J21" s="45">
        <v>1.0</v>
      </c>
      <c r="K21" s="45">
        <v>1.0</v>
      </c>
      <c r="L21" s="45">
        <f t="shared" si="1"/>
        <v>1</v>
      </c>
      <c r="M21" s="45">
        <v>1.0</v>
      </c>
      <c r="N21" s="46">
        <f t="shared" si="2"/>
        <v>7</v>
      </c>
      <c r="O21" s="46">
        <f t="shared" si="3"/>
        <v>70</v>
      </c>
      <c r="P21" s="47">
        <v>81.0</v>
      </c>
      <c r="Q21" s="47">
        <v>87.0</v>
      </c>
      <c r="R21" s="47">
        <v>85.0</v>
      </c>
      <c r="S21" s="47">
        <v>82.5</v>
      </c>
      <c r="T21" s="47">
        <v>84.5</v>
      </c>
      <c r="U21" s="95">
        <v>90.0</v>
      </c>
      <c r="V21" s="95">
        <v>65.0</v>
      </c>
      <c r="W21" s="48">
        <f t="shared" si="8"/>
        <v>82</v>
      </c>
      <c r="X21" s="96">
        <v>86.5</v>
      </c>
      <c r="Y21" s="96">
        <v>70.0</v>
      </c>
      <c r="Z21" s="96">
        <v>80.0</v>
      </c>
      <c r="AA21" s="96">
        <v>85.0</v>
      </c>
      <c r="AB21" s="97">
        <v>40.0</v>
      </c>
      <c r="AC21" s="97">
        <v>40.0</v>
      </c>
      <c r="AD21" s="98">
        <f t="shared" si="4"/>
        <v>67</v>
      </c>
      <c r="AE21" s="99">
        <v>86.0</v>
      </c>
      <c r="AF21" s="99">
        <v>70.0</v>
      </c>
      <c r="AG21" s="99">
        <v>80.0</v>
      </c>
      <c r="AH21" s="99">
        <v>0.0</v>
      </c>
      <c r="AI21" s="100">
        <v>0.0</v>
      </c>
      <c r="AJ21" s="100">
        <v>0.0</v>
      </c>
      <c r="AK21" s="100">
        <f t="shared" si="10"/>
        <v>39</v>
      </c>
      <c r="AL21" s="55">
        <v>65.0</v>
      </c>
      <c r="AM21" s="54">
        <v>52.0</v>
      </c>
      <c r="AN21" s="53">
        <f t="shared" si="5"/>
        <v>59.8</v>
      </c>
      <c r="AO21" s="56">
        <f t="shared" si="6"/>
        <v>67</v>
      </c>
      <c r="AP21" s="57" t="str">
        <f t="shared" si="7"/>
        <v>C</v>
      </c>
    </row>
    <row r="22">
      <c r="A22" s="42">
        <v>19.0</v>
      </c>
      <c r="B22" s="43">
        <v>6.0200125085E10</v>
      </c>
      <c r="C22" s="44" t="s">
        <v>77</v>
      </c>
      <c r="D22" s="45">
        <v>0.0</v>
      </c>
      <c r="E22" s="45">
        <v>1.0</v>
      </c>
      <c r="F22" s="45">
        <v>1.0</v>
      </c>
      <c r="G22" s="45">
        <v>1.0</v>
      </c>
      <c r="H22" s="45">
        <v>1.0</v>
      </c>
      <c r="I22" s="45">
        <v>1.0</v>
      </c>
      <c r="J22" s="45">
        <v>1.0</v>
      </c>
      <c r="K22" s="45">
        <v>1.0</v>
      </c>
      <c r="L22" s="45">
        <f t="shared" si="1"/>
        <v>1</v>
      </c>
      <c r="M22" s="45">
        <v>1.0</v>
      </c>
      <c r="N22" s="46">
        <f t="shared" si="2"/>
        <v>9</v>
      </c>
      <c r="O22" s="46">
        <f t="shared" si="3"/>
        <v>90</v>
      </c>
      <c r="P22" s="47">
        <v>85.0</v>
      </c>
      <c r="Q22" s="47">
        <v>86.0</v>
      </c>
      <c r="R22" s="47">
        <v>85.5</v>
      </c>
      <c r="S22" s="47">
        <v>83.0</v>
      </c>
      <c r="T22" s="47">
        <v>86.0</v>
      </c>
      <c r="U22" s="95">
        <v>89.0</v>
      </c>
      <c r="V22" s="95">
        <v>90.0</v>
      </c>
      <c r="W22" s="48">
        <f t="shared" si="8"/>
        <v>86</v>
      </c>
      <c r="X22" s="96">
        <v>90.0</v>
      </c>
      <c r="Y22" s="96">
        <v>86.0</v>
      </c>
      <c r="Z22" s="96">
        <v>82.0</v>
      </c>
      <c r="AA22" s="96">
        <v>88.0</v>
      </c>
      <c r="AB22" s="97">
        <v>86.0</v>
      </c>
      <c r="AC22" s="97">
        <v>87.0</v>
      </c>
      <c r="AD22" s="98">
        <f t="shared" si="4"/>
        <v>87</v>
      </c>
      <c r="AE22" s="99">
        <v>90.0</v>
      </c>
      <c r="AF22" s="99">
        <v>86.0</v>
      </c>
      <c r="AG22" s="99">
        <v>82.0</v>
      </c>
      <c r="AH22" s="99">
        <v>88.0</v>
      </c>
      <c r="AI22" s="100">
        <v>86.0</v>
      </c>
      <c r="AJ22" s="100">
        <v>87.0</v>
      </c>
      <c r="AK22" s="100">
        <f t="shared" si="10"/>
        <v>87</v>
      </c>
      <c r="AL22" s="53">
        <v>70.0</v>
      </c>
      <c r="AM22" s="54">
        <v>85.0</v>
      </c>
      <c r="AN22" s="53">
        <f t="shared" si="5"/>
        <v>76</v>
      </c>
      <c r="AO22" s="56">
        <f t="shared" si="6"/>
        <v>84</v>
      </c>
      <c r="AP22" s="57" t="str">
        <f t="shared" si="7"/>
        <v>B</v>
      </c>
    </row>
    <row r="23">
      <c r="A23" s="42">
        <v>20.0</v>
      </c>
      <c r="B23" s="43">
        <v>6.0200125086E10</v>
      </c>
      <c r="C23" s="44" t="s">
        <v>78</v>
      </c>
      <c r="D23" s="45">
        <v>1.0</v>
      </c>
      <c r="E23" s="45">
        <v>1.0</v>
      </c>
      <c r="F23" s="45">
        <v>1.0</v>
      </c>
      <c r="G23" s="45">
        <v>1.0</v>
      </c>
      <c r="H23" s="45">
        <v>1.0</v>
      </c>
      <c r="I23" s="45">
        <v>1.0</v>
      </c>
      <c r="J23" s="45">
        <v>1.0</v>
      </c>
      <c r="K23" s="45">
        <v>0.0</v>
      </c>
      <c r="L23" s="45">
        <f t="shared" si="1"/>
        <v>1</v>
      </c>
      <c r="M23" s="45">
        <v>1.0</v>
      </c>
      <c r="N23" s="46">
        <f t="shared" si="2"/>
        <v>9</v>
      </c>
      <c r="O23" s="46">
        <f t="shared" si="3"/>
        <v>90</v>
      </c>
      <c r="P23" s="47">
        <v>83.5</v>
      </c>
      <c r="Q23" s="47">
        <f>25+85/2</f>
        <v>67.5</v>
      </c>
      <c r="R23" s="47">
        <v>84.5</v>
      </c>
      <c r="S23" s="47">
        <v>80.2</v>
      </c>
      <c r="T23" s="47">
        <v>83.0</v>
      </c>
      <c r="U23" s="95">
        <v>90.0</v>
      </c>
      <c r="V23" s="95">
        <v>80.0</v>
      </c>
      <c r="W23" s="48">
        <f t="shared" si="8"/>
        <v>81</v>
      </c>
      <c r="X23" s="96">
        <v>86.0</v>
      </c>
      <c r="Y23" s="96">
        <v>80.0</v>
      </c>
      <c r="Z23" s="96">
        <v>75.0</v>
      </c>
      <c r="AA23" s="96">
        <v>83.0</v>
      </c>
      <c r="AB23" s="97">
        <v>82.0</v>
      </c>
      <c r="AC23" s="97">
        <v>84.0</v>
      </c>
      <c r="AD23" s="98">
        <f t="shared" si="4"/>
        <v>82</v>
      </c>
      <c r="AE23" s="99">
        <v>86.0</v>
      </c>
      <c r="AF23" s="99">
        <v>80.0</v>
      </c>
      <c r="AG23" s="99">
        <v>75.0</v>
      </c>
      <c r="AH23" s="99">
        <v>83.0</v>
      </c>
      <c r="AI23" s="100">
        <v>88.0</v>
      </c>
      <c r="AJ23" s="100">
        <v>84.0</v>
      </c>
      <c r="AK23" s="100">
        <f t="shared" si="10"/>
        <v>83</v>
      </c>
      <c r="AL23" s="53">
        <v>65.0</v>
      </c>
      <c r="AM23" s="54">
        <v>52.0</v>
      </c>
      <c r="AN23" s="53">
        <f t="shared" si="5"/>
        <v>59.8</v>
      </c>
      <c r="AO23" s="56">
        <f t="shared" si="6"/>
        <v>77</v>
      </c>
      <c r="AP23" s="57" t="str">
        <f t="shared" si="7"/>
        <v>B</v>
      </c>
    </row>
    <row r="24">
      <c r="A24" s="42">
        <v>21.0</v>
      </c>
      <c r="B24" s="43">
        <v>6.0200125087E10</v>
      </c>
      <c r="C24" s="44" t="s">
        <v>79</v>
      </c>
      <c r="D24" s="45">
        <v>1.0</v>
      </c>
      <c r="E24" s="45">
        <v>1.0</v>
      </c>
      <c r="F24" s="45">
        <v>1.0</v>
      </c>
      <c r="G24" s="45">
        <v>1.0</v>
      </c>
      <c r="H24" s="45">
        <v>1.0</v>
      </c>
      <c r="I24" s="45">
        <v>1.0</v>
      </c>
      <c r="J24" s="45">
        <v>1.0</v>
      </c>
      <c r="K24" s="45">
        <v>1.0</v>
      </c>
      <c r="L24" s="45">
        <f t="shared" si="1"/>
        <v>1</v>
      </c>
      <c r="M24" s="45">
        <v>1.0</v>
      </c>
      <c r="N24" s="46">
        <f t="shared" si="2"/>
        <v>10</v>
      </c>
      <c r="O24" s="46">
        <f t="shared" si="3"/>
        <v>100</v>
      </c>
      <c r="P24" s="47">
        <v>85.5</v>
      </c>
      <c r="Q24" s="47">
        <v>84.0</v>
      </c>
      <c r="R24" s="47">
        <v>88.5</v>
      </c>
      <c r="S24" s="47">
        <v>82.0</v>
      </c>
      <c r="T24" s="47">
        <v>85.0</v>
      </c>
      <c r="U24" s="95">
        <v>90.5</v>
      </c>
      <c r="V24" s="95">
        <v>80.0</v>
      </c>
      <c r="W24" s="48">
        <f t="shared" si="8"/>
        <v>85</v>
      </c>
      <c r="X24" s="96">
        <v>85.0</v>
      </c>
      <c r="Y24" s="96">
        <v>88.0</v>
      </c>
      <c r="Z24" s="96">
        <v>85.0</v>
      </c>
      <c r="AA24" s="96">
        <v>85.0</v>
      </c>
      <c r="AB24" s="97">
        <v>86.0</v>
      </c>
      <c r="AC24" s="97">
        <v>86.0</v>
      </c>
      <c r="AD24" s="98">
        <f t="shared" si="4"/>
        <v>86</v>
      </c>
      <c r="AE24" s="99">
        <v>85.0</v>
      </c>
      <c r="AF24" s="99">
        <v>88.0</v>
      </c>
      <c r="AG24" s="99">
        <v>85.0</v>
      </c>
      <c r="AH24" s="99">
        <v>85.0</v>
      </c>
      <c r="AI24" s="100">
        <v>86.0</v>
      </c>
      <c r="AJ24" s="100">
        <v>86.0</v>
      </c>
      <c r="AK24" s="100">
        <f t="shared" si="10"/>
        <v>86</v>
      </c>
      <c r="AL24" s="53">
        <v>78.0</v>
      </c>
      <c r="AM24" s="54">
        <v>80.0</v>
      </c>
      <c r="AN24" s="53">
        <f t="shared" si="5"/>
        <v>78.8</v>
      </c>
      <c r="AO24" s="56">
        <f t="shared" si="6"/>
        <v>85</v>
      </c>
      <c r="AP24" s="57" t="str">
        <f t="shared" si="7"/>
        <v>A</v>
      </c>
    </row>
    <row r="25">
      <c r="A25" s="30">
        <v>22.0</v>
      </c>
      <c r="B25" s="31">
        <v>6.0200125088E10</v>
      </c>
      <c r="C25" s="32" t="s">
        <v>80</v>
      </c>
      <c r="D25" s="33">
        <v>0.0</v>
      </c>
      <c r="E25" s="33">
        <v>0.0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f t="shared" si="1"/>
        <v>0</v>
      </c>
      <c r="M25" s="33">
        <v>0.0</v>
      </c>
      <c r="N25" s="34">
        <f t="shared" si="2"/>
        <v>0</v>
      </c>
      <c r="O25" s="34">
        <f t="shared" si="3"/>
        <v>0</v>
      </c>
      <c r="P25" s="58">
        <v>0.0</v>
      </c>
      <c r="Q25" s="58">
        <v>0.0</v>
      </c>
      <c r="R25" s="58">
        <v>0.0</v>
      </c>
      <c r="S25" s="58">
        <v>0.0</v>
      </c>
      <c r="T25" s="58">
        <v>0.0</v>
      </c>
      <c r="U25" s="35">
        <v>0.0</v>
      </c>
      <c r="V25" s="35">
        <v>0.0</v>
      </c>
      <c r="W25" s="37">
        <f t="shared" ref="W25:W37" si="11">ROUND(SUM(P25:V25)/7,0)</f>
        <v>0</v>
      </c>
      <c r="X25" s="58">
        <v>0.0</v>
      </c>
      <c r="Y25" s="58">
        <v>0.0</v>
      </c>
      <c r="Z25" s="58">
        <v>0.0</v>
      </c>
      <c r="AA25" s="58">
        <v>0.0</v>
      </c>
      <c r="AB25" s="36">
        <v>0.0</v>
      </c>
      <c r="AC25" s="36">
        <v>0.0</v>
      </c>
      <c r="AD25" s="37">
        <f t="shared" si="4"/>
        <v>0</v>
      </c>
      <c r="AE25" s="58">
        <v>0.0</v>
      </c>
      <c r="AF25" s="58">
        <v>0.0</v>
      </c>
      <c r="AG25" s="58">
        <v>0.0</v>
      </c>
      <c r="AH25" s="58">
        <v>0.0</v>
      </c>
      <c r="AI25" s="36">
        <v>0.0</v>
      </c>
      <c r="AJ25" s="36">
        <v>0.0</v>
      </c>
      <c r="AK25" s="36">
        <f t="shared" si="10"/>
        <v>0</v>
      </c>
      <c r="AL25" s="38">
        <v>0.0</v>
      </c>
      <c r="AM25" s="39">
        <v>0.0</v>
      </c>
      <c r="AN25" s="40">
        <f t="shared" si="5"/>
        <v>0</v>
      </c>
      <c r="AO25" s="40">
        <f t="shared" si="6"/>
        <v>0</v>
      </c>
      <c r="AP25" s="41" t="str">
        <f t="shared" si="7"/>
        <v>E</v>
      </c>
    </row>
    <row r="26">
      <c r="A26" s="42">
        <v>23.0</v>
      </c>
      <c r="B26" s="43">
        <v>6.0200125105E10</v>
      </c>
      <c r="C26" s="44" t="s">
        <v>81</v>
      </c>
      <c r="D26" s="45">
        <v>1.0</v>
      </c>
      <c r="E26" s="45">
        <v>1.0</v>
      </c>
      <c r="F26" s="45">
        <v>1.0</v>
      </c>
      <c r="G26" s="45">
        <v>1.0</v>
      </c>
      <c r="H26" s="45">
        <v>1.0</v>
      </c>
      <c r="I26" s="45">
        <v>1.0</v>
      </c>
      <c r="J26" s="45">
        <v>1.0</v>
      </c>
      <c r="K26" s="45">
        <v>1.0</v>
      </c>
      <c r="L26" s="45">
        <f t="shared" si="1"/>
        <v>1</v>
      </c>
      <c r="M26" s="45">
        <v>1.0</v>
      </c>
      <c r="N26" s="46">
        <f t="shared" si="2"/>
        <v>10</v>
      </c>
      <c r="O26" s="46">
        <f t="shared" si="3"/>
        <v>100</v>
      </c>
      <c r="P26" s="47">
        <v>86.0</v>
      </c>
      <c r="Q26" s="47">
        <v>85.5</v>
      </c>
      <c r="R26" s="47">
        <v>87.5</v>
      </c>
      <c r="S26" s="47">
        <v>83.0</v>
      </c>
      <c r="T26" s="47">
        <v>85.0</v>
      </c>
      <c r="U26" s="95">
        <v>91.5</v>
      </c>
      <c r="V26" s="95">
        <v>80.0</v>
      </c>
      <c r="W26" s="48">
        <f t="shared" si="11"/>
        <v>86</v>
      </c>
      <c r="X26" s="101">
        <v>85.0</v>
      </c>
      <c r="Y26" s="101">
        <v>88.0</v>
      </c>
      <c r="Z26" s="101">
        <v>85.0</v>
      </c>
      <c r="AA26" s="101">
        <v>83.0</v>
      </c>
      <c r="AB26" s="102">
        <v>86.0</v>
      </c>
      <c r="AC26" s="102">
        <v>86.0</v>
      </c>
      <c r="AD26" s="103">
        <f t="shared" si="4"/>
        <v>86</v>
      </c>
      <c r="AE26" s="104">
        <v>85.0</v>
      </c>
      <c r="AF26" s="104">
        <v>88.0</v>
      </c>
      <c r="AG26" s="104">
        <v>85.0</v>
      </c>
      <c r="AH26" s="104">
        <v>83.0</v>
      </c>
      <c r="AI26" s="105">
        <v>86.0</v>
      </c>
      <c r="AJ26" s="105">
        <v>86.0</v>
      </c>
      <c r="AK26" s="105">
        <f t="shared" si="10"/>
        <v>86</v>
      </c>
      <c r="AL26" s="53">
        <v>88.0</v>
      </c>
      <c r="AM26" s="54">
        <v>52.0</v>
      </c>
      <c r="AN26" s="53">
        <f t="shared" si="5"/>
        <v>73.6</v>
      </c>
      <c r="AO26" s="56">
        <f t="shared" si="6"/>
        <v>84</v>
      </c>
      <c r="AP26" s="57" t="str">
        <f t="shared" si="7"/>
        <v>B</v>
      </c>
    </row>
    <row r="27">
      <c r="A27" s="42">
        <v>24.0</v>
      </c>
      <c r="B27" s="43">
        <v>6.0200125106E10</v>
      </c>
      <c r="C27" s="44" t="s">
        <v>82</v>
      </c>
      <c r="D27" s="45">
        <v>0.0</v>
      </c>
      <c r="E27" s="45">
        <v>0.0</v>
      </c>
      <c r="F27" s="45">
        <v>0.0</v>
      </c>
      <c r="G27" s="45">
        <v>0.0</v>
      </c>
      <c r="H27" s="45">
        <v>0.0</v>
      </c>
      <c r="I27" s="45">
        <v>0.0</v>
      </c>
      <c r="J27" s="45">
        <v>1.0</v>
      </c>
      <c r="K27" s="45">
        <v>1.0</v>
      </c>
      <c r="L27" s="45">
        <f t="shared" si="1"/>
        <v>1</v>
      </c>
      <c r="M27" s="45">
        <v>1.0</v>
      </c>
      <c r="N27" s="46">
        <f t="shared" si="2"/>
        <v>4</v>
      </c>
      <c r="O27" s="46">
        <f t="shared" si="3"/>
        <v>40</v>
      </c>
      <c r="P27" s="47">
        <v>81.5</v>
      </c>
      <c r="Q27" s="106">
        <v>83.0</v>
      </c>
      <c r="R27" s="47">
        <v>50.0</v>
      </c>
      <c r="S27" s="47">
        <v>50.0</v>
      </c>
      <c r="T27" s="47">
        <v>85.0</v>
      </c>
      <c r="U27" s="95">
        <f>44+25</f>
        <v>69</v>
      </c>
      <c r="V27" s="95">
        <v>80.0</v>
      </c>
      <c r="W27" s="48">
        <f t="shared" si="11"/>
        <v>71</v>
      </c>
      <c r="X27" s="101">
        <v>86.0</v>
      </c>
      <c r="Y27" s="101">
        <v>85.0</v>
      </c>
      <c r="Z27" s="101">
        <v>78.0</v>
      </c>
      <c r="AA27" s="101">
        <v>40.0</v>
      </c>
      <c r="AB27" s="102">
        <v>85.0</v>
      </c>
      <c r="AC27" s="102">
        <v>85.0</v>
      </c>
      <c r="AD27" s="103">
        <f t="shared" si="4"/>
        <v>77</v>
      </c>
      <c r="AE27" s="104">
        <v>0.0</v>
      </c>
      <c r="AF27" s="104">
        <v>0.0</v>
      </c>
      <c r="AG27" s="104">
        <v>0.0</v>
      </c>
      <c r="AH27" s="104">
        <v>0.0</v>
      </c>
      <c r="AI27" s="105">
        <v>0.0</v>
      </c>
      <c r="AJ27" s="105">
        <v>85.0</v>
      </c>
      <c r="AK27" s="105">
        <f t="shared" si="10"/>
        <v>14</v>
      </c>
      <c r="AL27" s="53">
        <v>72.0</v>
      </c>
      <c r="AM27" s="54">
        <v>40.0</v>
      </c>
      <c r="AN27" s="53">
        <f t="shared" si="5"/>
        <v>59.2</v>
      </c>
      <c r="AO27" s="56">
        <f t="shared" si="6"/>
        <v>57</v>
      </c>
      <c r="AP27" s="57" t="str">
        <f t="shared" si="7"/>
        <v>D</v>
      </c>
    </row>
    <row r="28">
      <c r="A28" s="42">
        <v>25.0</v>
      </c>
      <c r="B28" s="43">
        <v>6.0200125107E10</v>
      </c>
      <c r="C28" s="44" t="s">
        <v>83</v>
      </c>
      <c r="D28" s="45">
        <v>1.0</v>
      </c>
      <c r="E28" s="45">
        <v>1.0</v>
      </c>
      <c r="F28" s="45">
        <v>1.0</v>
      </c>
      <c r="G28" s="45">
        <v>1.0</v>
      </c>
      <c r="H28" s="45">
        <v>1.0</v>
      </c>
      <c r="I28" s="45">
        <v>1.0</v>
      </c>
      <c r="J28" s="45">
        <v>1.0</v>
      </c>
      <c r="K28" s="45">
        <v>1.0</v>
      </c>
      <c r="L28" s="45">
        <f t="shared" si="1"/>
        <v>1</v>
      </c>
      <c r="M28" s="45">
        <v>1.0</v>
      </c>
      <c r="N28" s="46">
        <f t="shared" si="2"/>
        <v>10</v>
      </c>
      <c r="O28" s="46">
        <f t="shared" si="3"/>
        <v>100</v>
      </c>
      <c r="P28" s="47">
        <v>84.5</v>
      </c>
      <c r="Q28" s="47">
        <v>83.5</v>
      </c>
      <c r="R28" s="47">
        <v>87.0</v>
      </c>
      <c r="S28" s="47">
        <v>82.5</v>
      </c>
      <c r="T28" s="47">
        <v>86.0</v>
      </c>
      <c r="U28" s="95">
        <v>89.5</v>
      </c>
      <c r="V28" s="95">
        <v>80.0</v>
      </c>
      <c r="W28" s="48">
        <f t="shared" si="11"/>
        <v>85</v>
      </c>
      <c r="X28" s="101">
        <v>85.0</v>
      </c>
      <c r="Y28" s="101">
        <v>86.0</v>
      </c>
      <c r="Z28" s="101">
        <v>90.0</v>
      </c>
      <c r="AA28" s="101">
        <v>85.0</v>
      </c>
      <c r="AB28" s="102">
        <v>85.0</v>
      </c>
      <c r="AC28" s="102">
        <v>86.0</v>
      </c>
      <c r="AD28" s="103">
        <f t="shared" si="4"/>
        <v>86</v>
      </c>
      <c r="AE28" s="104">
        <v>85.0</v>
      </c>
      <c r="AF28" s="104">
        <v>86.0</v>
      </c>
      <c r="AG28" s="104">
        <v>90.0</v>
      </c>
      <c r="AH28" s="104">
        <v>85.0</v>
      </c>
      <c r="AI28" s="105">
        <v>85.0</v>
      </c>
      <c r="AJ28" s="105">
        <v>86.0</v>
      </c>
      <c r="AK28" s="105">
        <f t="shared" si="10"/>
        <v>86</v>
      </c>
      <c r="AL28" s="53">
        <v>70.0</v>
      </c>
      <c r="AM28" s="54">
        <v>55.0</v>
      </c>
      <c r="AN28" s="53">
        <f t="shared" si="5"/>
        <v>64</v>
      </c>
      <c r="AO28" s="56">
        <f t="shared" si="6"/>
        <v>82</v>
      </c>
      <c r="AP28" s="57" t="str">
        <f t="shared" si="7"/>
        <v>B</v>
      </c>
    </row>
    <row r="29">
      <c r="A29" s="42">
        <v>26.0</v>
      </c>
      <c r="B29" s="43">
        <v>6.020012513E10</v>
      </c>
      <c r="C29" s="44" t="s">
        <v>84</v>
      </c>
      <c r="D29" s="45">
        <v>0.0</v>
      </c>
      <c r="E29" s="45">
        <v>1.0</v>
      </c>
      <c r="F29" s="45">
        <v>1.0</v>
      </c>
      <c r="G29" s="45">
        <v>0.0</v>
      </c>
      <c r="H29" s="45">
        <v>0.0</v>
      </c>
      <c r="I29" s="45">
        <v>0.0</v>
      </c>
      <c r="J29" s="45">
        <v>1.0</v>
      </c>
      <c r="K29" s="45">
        <v>0.0</v>
      </c>
      <c r="L29" s="45">
        <f t="shared" si="1"/>
        <v>0</v>
      </c>
      <c r="M29" s="45">
        <v>0.0</v>
      </c>
      <c r="N29" s="46">
        <f t="shared" si="2"/>
        <v>3</v>
      </c>
      <c r="O29" s="46">
        <f t="shared" si="3"/>
        <v>30</v>
      </c>
      <c r="P29" s="47">
        <v>0.0</v>
      </c>
      <c r="Q29" s="47">
        <v>0.0</v>
      </c>
      <c r="R29" s="47">
        <v>41.0</v>
      </c>
      <c r="S29" s="47">
        <v>0.0</v>
      </c>
      <c r="T29" s="47">
        <v>0.0</v>
      </c>
      <c r="U29" s="95">
        <v>0.0</v>
      </c>
      <c r="V29" s="95">
        <v>65.0</v>
      </c>
      <c r="W29" s="48">
        <f t="shared" si="11"/>
        <v>15</v>
      </c>
      <c r="X29" s="101">
        <v>86.0</v>
      </c>
      <c r="Y29" s="101">
        <v>85.0</v>
      </c>
      <c r="Z29" s="101">
        <v>0.0</v>
      </c>
      <c r="AA29" s="101">
        <v>0.0</v>
      </c>
      <c r="AB29" s="102">
        <v>0.0</v>
      </c>
      <c r="AC29" s="102">
        <v>0.0</v>
      </c>
      <c r="AD29" s="103">
        <f t="shared" si="4"/>
        <v>29</v>
      </c>
      <c r="AE29" s="104">
        <v>86.0</v>
      </c>
      <c r="AF29" s="104">
        <v>85.0</v>
      </c>
      <c r="AG29" s="104">
        <v>0.0</v>
      </c>
      <c r="AH29" s="104">
        <v>0.0</v>
      </c>
      <c r="AI29" s="105">
        <v>0.0</v>
      </c>
      <c r="AJ29" s="105">
        <v>0.0</v>
      </c>
      <c r="AK29" s="105">
        <f t="shared" si="10"/>
        <v>29</v>
      </c>
      <c r="AL29" s="55">
        <v>0.0</v>
      </c>
      <c r="AM29" s="54">
        <v>55.0</v>
      </c>
      <c r="AN29" s="53">
        <f t="shared" si="5"/>
        <v>22</v>
      </c>
      <c r="AO29" s="56">
        <f t="shared" si="6"/>
        <v>22</v>
      </c>
      <c r="AP29" s="41" t="str">
        <f t="shared" si="7"/>
        <v>E</v>
      </c>
    </row>
    <row r="30">
      <c r="A30" s="42">
        <v>27.0</v>
      </c>
      <c r="B30" s="43">
        <v>6.0200125131E10</v>
      </c>
      <c r="C30" s="44" t="s">
        <v>85</v>
      </c>
      <c r="D30" s="45">
        <v>1.0</v>
      </c>
      <c r="E30" s="45">
        <v>0.0</v>
      </c>
      <c r="F30" s="45">
        <v>0.0</v>
      </c>
      <c r="G30" s="45">
        <v>1.0</v>
      </c>
      <c r="H30" s="45">
        <v>1.0</v>
      </c>
      <c r="I30" s="45">
        <v>0.0</v>
      </c>
      <c r="J30" s="45">
        <v>1.0</v>
      </c>
      <c r="K30" s="45">
        <v>1.0</v>
      </c>
      <c r="L30" s="45">
        <f t="shared" si="1"/>
        <v>1</v>
      </c>
      <c r="M30" s="45">
        <v>1.0</v>
      </c>
      <c r="N30" s="46">
        <f t="shared" si="2"/>
        <v>7</v>
      </c>
      <c r="O30" s="46">
        <f t="shared" si="3"/>
        <v>70</v>
      </c>
      <c r="P30" s="47">
        <v>81.0</v>
      </c>
      <c r="Q30" s="106">
        <v>78.0</v>
      </c>
      <c r="R30" s="47">
        <v>87.0</v>
      </c>
      <c r="S30" s="47">
        <v>84.0</v>
      </c>
      <c r="T30" s="47">
        <v>84.5</v>
      </c>
      <c r="U30" s="95">
        <v>0.0</v>
      </c>
      <c r="V30" s="95">
        <v>65.0</v>
      </c>
      <c r="W30" s="48">
        <f t="shared" si="11"/>
        <v>69</v>
      </c>
      <c r="X30" s="101">
        <v>85.0</v>
      </c>
      <c r="Y30" s="101">
        <v>75.0</v>
      </c>
      <c r="Z30" s="101">
        <v>75.0</v>
      </c>
      <c r="AA30" s="101">
        <v>88.0</v>
      </c>
      <c r="AB30" s="102">
        <v>0.0</v>
      </c>
      <c r="AC30" s="102">
        <v>80.0</v>
      </c>
      <c r="AD30" s="103">
        <f t="shared" si="4"/>
        <v>67</v>
      </c>
      <c r="AE30" s="104">
        <v>85.0</v>
      </c>
      <c r="AF30" s="104">
        <v>75.0</v>
      </c>
      <c r="AG30" s="104">
        <v>75.0</v>
      </c>
      <c r="AH30" s="104">
        <v>88.0</v>
      </c>
      <c r="AI30" s="105">
        <v>0.0</v>
      </c>
      <c r="AJ30" s="105">
        <v>80.0</v>
      </c>
      <c r="AK30" s="105">
        <f t="shared" si="10"/>
        <v>67</v>
      </c>
      <c r="AL30" s="53">
        <v>70.0</v>
      </c>
      <c r="AM30" s="54">
        <v>85.0</v>
      </c>
      <c r="AN30" s="53">
        <f t="shared" si="5"/>
        <v>76</v>
      </c>
      <c r="AO30" s="56">
        <f t="shared" si="6"/>
        <v>70</v>
      </c>
      <c r="AP30" s="57" t="str">
        <f t="shared" si="7"/>
        <v>C</v>
      </c>
    </row>
    <row r="31">
      <c r="A31" s="60">
        <v>28.0</v>
      </c>
      <c r="B31" s="43">
        <v>6.0200125132E10</v>
      </c>
      <c r="C31" s="44" t="s">
        <v>86</v>
      </c>
      <c r="D31" s="45">
        <v>1.0</v>
      </c>
      <c r="E31" s="45">
        <v>0.0</v>
      </c>
      <c r="F31" s="45">
        <v>0.0</v>
      </c>
      <c r="G31" s="45">
        <v>1.0</v>
      </c>
      <c r="H31" s="45">
        <v>1.0</v>
      </c>
      <c r="I31" s="45">
        <v>1.0</v>
      </c>
      <c r="J31" s="45">
        <v>1.0</v>
      </c>
      <c r="K31" s="45">
        <v>1.0</v>
      </c>
      <c r="L31" s="45">
        <f t="shared" si="1"/>
        <v>1</v>
      </c>
      <c r="M31" s="45">
        <v>1.0</v>
      </c>
      <c r="N31" s="46">
        <f t="shared" si="2"/>
        <v>8</v>
      </c>
      <c r="O31" s="46">
        <f t="shared" si="3"/>
        <v>80</v>
      </c>
      <c r="P31" s="47">
        <v>84.5</v>
      </c>
      <c r="Q31" s="47">
        <f>25+(83/2)</f>
        <v>66.5</v>
      </c>
      <c r="R31" s="47">
        <v>85.0</v>
      </c>
      <c r="S31" s="47">
        <v>83.0</v>
      </c>
      <c r="T31" s="47">
        <v>87.5</v>
      </c>
      <c r="U31" s="95">
        <v>89.5</v>
      </c>
      <c r="V31" s="95">
        <v>90.0</v>
      </c>
      <c r="W31" s="48">
        <f t="shared" si="11"/>
        <v>84</v>
      </c>
      <c r="X31" s="101">
        <v>87.0</v>
      </c>
      <c r="Y31" s="101">
        <v>83.0</v>
      </c>
      <c r="Z31" s="101">
        <v>83.0</v>
      </c>
      <c r="AA31" s="101">
        <v>87.0</v>
      </c>
      <c r="AB31" s="102">
        <v>81.0</v>
      </c>
      <c r="AC31" s="102">
        <v>86.0</v>
      </c>
      <c r="AD31" s="103">
        <f t="shared" si="4"/>
        <v>85</v>
      </c>
      <c r="AE31" s="104">
        <v>87.0</v>
      </c>
      <c r="AF31" s="104">
        <v>83.0</v>
      </c>
      <c r="AG31" s="104">
        <v>83.0</v>
      </c>
      <c r="AH31" s="104">
        <v>0.0</v>
      </c>
      <c r="AI31" s="105">
        <v>86.0</v>
      </c>
      <c r="AJ31" s="105">
        <v>86.0</v>
      </c>
      <c r="AK31" s="105">
        <f t="shared" si="10"/>
        <v>71</v>
      </c>
      <c r="AL31" s="53">
        <v>80.0</v>
      </c>
      <c r="AM31" s="54">
        <v>60.0</v>
      </c>
      <c r="AN31" s="53">
        <f t="shared" si="5"/>
        <v>72</v>
      </c>
      <c r="AO31" s="56">
        <f t="shared" si="6"/>
        <v>79</v>
      </c>
      <c r="AP31" s="57" t="str">
        <f t="shared" si="7"/>
        <v>B</v>
      </c>
    </row>
    <row r="32">
      <c r="A32" s="60">
        <v>29.0</v>
      </c>
      <c r="B32" s="43">
        <v>6.0200125133E10</v>
      </c>
      <c r="C32" s="44" t="s">
        <v>87</v>
      </c>
      <c r="D32" s="45">
        <v>0.0</v>
      </c>
      <c r="E32" s="45">
        <v>1.0</v>
      </c>
      <c r="F32" s="45">
        <v>1.0</v>
      </c>
      <c r="G32" s="45">
        <v>1.0</v>
      </c>
      <c r="H32" s="45">
        <v>1.0</v>
      </c>
      <c r="I32" s="45">
        <v>0.0</v>
      </c>
      <c r="J32" s="45">
        <v>1.0</v>
      </c>
      <c r="K32" s="45">
        <v>1.0</v>
      </c>
      <c r="L32" s="45">
        <f t="shared" si="1"/>
        <v>1</v>
      </c>
      <c r="M32" s="45">
        <v>1.0</v>
      </c>
      <c r="N32" s="46">
        <f t="shared" si="2"/>
        <v>8</v>
      </c>
      <c r="O32" s="46">
        <f t="shared" si="3"/>
        <v>80</v>
      </c>
      <c r="P32" s="47">
        <v>82.5</v>
      </c>
      <c r="Q32" s="47">
        <v>80.5</v>
      </c>
      <c r="R32" s="47">
        <v>85.0</v>
      </c>
      <c r="S32" s="47">
        <v>84.5</v>
      </c>
      <c r="T32" s="47">
        <v>86.0</v>
      </c>
      <c r="U32" s="95">
        <v>90.5</v>
      </c>
      <c r="V32" s="95">
        <v>65.0</v>
      </c>
      <c r="W32" s="48">
        <f t="shared" si="11"/>
        <v>82</v>
      </c>
      <c r="X32" s="101">
        <v>80.0</v>
      </c>
      <c r="Y32" s="101">
        <v>80.0</v>
      </c>
      <c r="Z32" s="101">
        <v>75.0</v>
      </c>
      <c r="AA32" s="101">
        <v>87.0</v>
      </c>
      <c r="AB32" s="102">
        <v>86.0</v>
      </c>
      <c r="AC32" s="102">
        <v>84.0</v>
      </c>
      <c r="AD32" s="103">
        <f t="shared" si="4"/>
        <v>82</v>
      </c>
      <c r="AE32" s="104">
        <v>80.0</v>
      </c>
      <c r="AF32" s="104">
        <v>80.0</v>
      </c>
      <c r="AG32" s="104">
        <v>75.0</v>
      </c>
      <c r="AH32" s="104">
        <v>87.0</v>
      </c>
      <c r="AI32" s="105">
        <v>86.0</v>
      </c>
      <c r="AJ32" s="105">
        <v>84.0</v>
      </c>
      <c r="AK32" s="105">
        <f t="shared" si="10"/>
        <v>82</v>
      </c>
      <c r="AL32" s="53">
        <v>85.0</v>
      </c>
      <c r="AM32" s="54">
        <v>50.0</v>
      </c>
      <c r="AN32" s="53">
        <f t="shared" si="5"/>
        <v>71</v>
      </c>
      <c r="AO32" s="56">
        <f t="shared" si="6"/>
        <v>79</v>
      </c>
      <c r="AP32" s="57" t="str">
        <f t="shared" si="7"/>
        <v>B</v>
      </c>
    </row>
    <row r="33">
      <c r="A33" s="42">
        <v>30.0</v>
      </c>
      <c r="B33" s="43">
        <v>6.0200125134E10</v>
      </c>
      <c r="C33" s="44" t="s">
        <v>88</v>
      </c>
      <c r="D33" s="45">
        <v>0.0</v>
      </c>
      <c r="E33" s="45">
        <v>1.0</v>
      </c>
      <c r="F33" s="45">
        <v>0.0</v>
      </c>
      <c r="G33" s="45">
        <v>0.0</v>
      </c>
      <c r="H33" s="45">
        <v>0.0</v>
      </c>
      <c r="I33" s="45">
        <v>0.0</v>
      </c>
      <c r="J33" s="45">
        <v>1.0</v>
      </c>
      <c r="K33" s="45">
        <v>1.0</v>
      </c>
      <c r="L33" s="45">
        <f t="shared" si="1"/>
        <v>1</v>
      </c>
      <c r="M33" s="45">
        <v>1.0</v>
      </c>
      <c r="N33" s="46">
        <f t="shared" si="2"/>
        <v>5</v>
      </c>
      <c r="O33" s="46">
        <f t="shared" si="3"/>
        <v>50</v>
      </c>
      <c r="P33" s="47">
        <v>82.0</v>
      </c>
      <c r="Q33" s="47">
        <v>82.0</v>
      </c>
      <c r="R33" s="47">
        <v>60.0</v>
      </c>
      <c r="S33" s="47">
        <v>83.0</v>
      </c>
      <c r="T33" s="47">
        <v>85.5</v>
      </c>
      <c r="U33" s="95">
        <v>90.5</v>
      </c>
      <c r="V33" s="95">
        <v>65.0</v>
      </c>
      <c r="W33" s="48">
        <f t="shared" si="11"/>
        <v>78</v>
      </c>
      <c r="X33" s="101">
        <v>86.5</v>
      </c>
      <c r="Y33" s="101">
        <v>70.0</v>
      </c>
      <c r="Z33" s="101">
        <v>86.0</v>
      </c>
      <c r="AA33" s="101">
        <v>50.0</v>
      </c>
      <c r="AB33" s="102">
        <v>82.0</v>
      </c>
      <c r="AC33" s="102">
        <v>86.0</v>
      </c>
      <c r="AD33" s="103">
        <f t="shared" si="4"/>
        <v>77</v>
      </c>
      <c r="AE33" s="104">
        <v>86.5</v>
      </c>
      <c r="AF33" s="104">
        <v>0.0</v>
      </c>
      <c r="AG33" s="104">
        <v>0.0</v>
      </c>
      <c r="AH33" s="104">
        <v>0.0</v>
      </c>
      <c r="AI33" s="105">
        <v>0.0</v>
      </c>
      <c r="AJ33" s="105">
        <v>86.0</v>
      </c>
      <c r="AK33" s="105">
        <f t="shared" si="10"/>
        <v>29</v>
      </c>
      <c r="AL33" s="53">
        <v>75.0</v>
      </c>
      <c r="AM33" s="54">
        <v>60.0</v>
      </c>
      <c r="AN33" s="53">
        <f t="shared" si="5"/>
        <v>69</v>
      </c>
      <c r="AO33" s="56">
        <f t="shared" si="6"/>
        <v>65</v>
      </c>
      <c r="AP33" s="57" t="str">
        <f t="shared" si="7"/>
        <v>C</v>
      </c>
    </row>
    <row r="34">
      <c r="A34" s="42">
        <v>31.0</v>
      </c>
      <c r="B34" s="43">
        <v>6.0200125135E10</v>
      </c>
      <c r="C34" s="44" t="s">
        <v>89</v>
      </c>
      <c r="D34" s="45">
        <v>0.0</v>
      </c>
      <c r="E34" s="45">
        <v>1.0</v>
      </c>
      <c r="F34" s="45">
        <v>1.0</v>
      </c>
      <c r="G34" s="45">
        <v>0.0</v>
      </c>
      <c r="H34" s="45">
        <v>0.0</v>
      </c>
      <c r="I34" s="45">
        <v>0.0</v>
      </c>
      <c r="J34" s="45">
        <v>0.0</v>
      </c>
      <c r="K34" s="45">
        <v>0.0</v>
      </c>
      <c r="L34" s="45">
        <f t="shared" si="1"/>
        <v>1</v>
      </c>
      <c r="M34" s="45">
        <v>1.0</v>
      </c>
      <c r="N34" s="46">
        <f t="shared" si="2"/>
        <v>4</v>
      </c>
      <c r="O34" s="46">
        <f t="shared" si="3"/>
        <v>40</v>
      </c>
      <c r="P34" s="47">
        <v>83.0</v>
      </c>
      <c r="Q34" s="47">
        <v>50.0</v>
      </c>
      <c r="R34" s="47">
        <v>50.0</v>
      </c>
      <c r="S34" s="47">
        <v>0.0</v>
      </c>
      <c r="T34" s="47">
        <v>50.0</v>
      </c>
      <c r="U34" s="95">
        <v>50.0</v>
      </c>
      <c r="V34" s="95">
        <v>65.0</v>
      </c>
      <c r="W34" s="48">
        <f t="shared" si="11"/>
        <v>50</v>
      </c>
      <c r="X34" s="101">
        <v>85.0</v>
      </c>
      <c r="Y34" s="101">
        <v>85.0</v>
      </c>
      <c r="Z34" s="101">
        <v>40.0</v>
      </c>
      <c r="AA34" s="101">
        <v>40.0</v>
      </c>
      <c r="AB34" s="102">
        <v>40.0</v>
      </c>
      <c r="AC34" s="102">
        <v>40.0</v>
      </c>
      <c r="AD34" s="103">
        <f t="shared" si="4"/>
        <v>55</v>
      </c>
      <c r="AE34" s="104">
        <v>85.0</v>
      </c>
      <c r="AF34" s="104">
        <v>85.0</v>
      </c>
      <c r="AG34" s="104">
        <v>0.0</v>
      </c>
      <c r="AH34" s="104">
        <v>0.0</v>
      </c>
      <c r="AI34" s="105">
        <v>0.0</v>
      </c>
      <c r="AJ34" s="105">
        <v>0.0</v>
      </c>
      <c r="AK34" s="105">
        <f t="shared" si="10"/>
        <v>28</v>
      </c>
      <c r="AL34" s="53">
        <v>70.0</v>
      </c>
      <c r="AM34" s="54">
        <v>55.0</v>
      </c>
      <c r="AN34" s="53">
        <f t="shared" si="5"/>
        <v>64</v>
      </c>
      <c r="AO34" s="56">
        <f t="shared" si="6"/>
        <v>50</v>
      </c>
      <c r="AP34" s="57" t="str">
        <f t="shared" si="7"/>
        <v>D</v>
      </c>
    </row>
    <row r="35">
      <c r="A35" s="42">
        <v>32.0</v>
      </c>
      <c r="B35" s="43">
        <v>6.0200125136E10</v>
      </c>
      <c r="C35" s="44" t="s">
        <v>90</v>
      </c>
      <c r="D35" s="45">
        <v>0.0</v>
      </c>
      <c r="E35" s="45">
        <v>1.0</v>
      </c>
      <c r="F35" s="45">
        <v>0.0</v>
      </c>
      <c r="G35" s="45">
        <v>0.0</v>
      </c>
      <c r="H35" s="45">
        <v>0.0</v>
      </c>
      <c r="I35" s="45">
        <v>0.0</v>
      </c>
      <c r="J35" s="45">
        <v>0.0</v>
      </c>
      <c r="K35" s="45">
        <v>0.0</v>
      </c>
      <c r="L35" s="45">
        <f t="shared" si="1"/>
        <v>1</v>
      </c>
      <c r="M35" s="45">
        <v>1.0</v>
      </c>
      <c r="N35" s="46">
        <f t="shared" si="2"/>
        <v>3</v>
      </c>
      <c r="O35" s="46">
        <f t="shared" si="3"/>
        <v>30</v>
      </c>
      <c r="P35" s="47">
        <v>0.0</v>
      </c>
      <c r="Q35" s="47">
        <v>0.0</v>
      </c>
      <c r="R35" s="47">
        <v>0.0</v>
      </c>
      <c r="S35" s="47">
        <v>0.0</v>
      </c>
      <c r="T35" s="47">
        <v>0.0</v>
      </c>
      <c r="U35" s="95">
        <v>0.0</v>
      </c>
      <c r="V35" s="95">
        <v>65.0</v>
      </c>
      <c r="W35" s="48">
        <f t="shared" si="11"/>
        <v>9</v>
      </c>
      <c r="X35" s="101">
        <v>80.0</v>
      </c>
      <c r="Y35" s="101">
        <v>0.0</v>
      </c>
      <c r="Z35" s="101">
        <v>0.0</v>
      </c>
      <c r="AA35" s="101">
        <v>0.0</v>
      </c>
      <c r="AB35" s="102">
        <v>0.0</v>
      </c>
      <c r="AC35" s="102">
        <v>0.0</v>
      </c>
      <c r="AD35" s="103">
        <f t="shared" si="4"/>
        <v>13</v>
      </c>
      <c r="AE35" s="104">
        <v>80.0</v>
      </c>
      <c r="AF35" s="104">
        <v>0.0</v>
      </c>
      <c r="AG35" s="104">
        <v>0.0</v>
      </c>
      <c r="AH35" s="104">
        <v>0.0</v>
      </c>
      <c r="AI35" s="105">
        <v>0.0</v>
      </c>
      <c r="AJ35" s="105">
        <v>0.0</v>
      </c>
      <c r="AK35" s="105">
        <f t="shared" si="10"/>
        <v>13</v>
      </c>
      <c r="AL35" s="53">
        <v>20.0</v>
      </c>
      <c r="AM35" s="54">
        <v>57.0</v>
      </c>
      <c r="AN35" s="53">
        <f t="shared" si="5"/>
        <v>34.8</v>
      </c>
      <c r="AO35" s="56">
        <f t="shared" si="6"/>
        <v>19</v>
      </c>
      <c r="AP35" s="41" t="str">
        <f t="shared" si="7"/>
        <v>E</v>
      </c>
    </row>
    <row r="36">
      <c r="A36" s="42">
        <v>33.0</v>
      </c>
      <c r="B36" s="43">
        <v>6.0200125137E10</v>
      </c>
      <c r="C36" s="44" t="s">
        <v>91</v>
      </c>
      <c r="D36" s="45">
        <v>1.0</v>
      </c>
      <c r="E36" s="45">
        <v>1.0</v>
      </c>
      <c r="F36" s="45">
        <v>1.0</v>
      </c>
      <c r="G36" s="45">
        <v>1.0</v>
      </c>
      <c r="H36" s="45">
        <v>1.0</v>
      </c>
      <c r="I36" s="45">
        <v>1.0</v>
      </c>
      <c r="J36" s="45">
        <v>1.0</v>
      </c>
      <c r="K36" s="45">
        <v>1.0</v>
      </c>
      <c r="L36" s="45">
        <f t="shared" si="1"/>
        <v>1</v>
      </c>
      <c r="M36" s="45">
        <v>1.0</v>
      </c>
      <c r="N36" s="46">
        <f t="shared" si="2"/>
        <v>10</v>
      </c>
      <c r="O36" s="46">
        <f t="shared" si="3"/>
        <v>100</v>
      </c>
      <c r="P36" s="47">
        <v>82.5</v>
      </c>
      <c r="Q36" s="47">
        <v>82.5</v>
      </c>
      <c r="R36" s="47">
        <f>44+25</f>
        <v>69</v>
      </c>
      <c r="S36" s="47">
        <v>82.5</v>
      </c>
      <c r="T36" s="47">
        <v>85.5</v>
      </c>
      <c r="U36" s="95">
        <v>90.5</v>
      </c>
      <c r="V36" s="95">
        <v>80.0</v>
      </c>
      <c r="W36" s="48">
        <f t="shared" si="11"/>
        <v>82</v>
      </c>
      <c r="X36" s="101">
        <v>90.0</v>
      </c>
      <c r="Y36" s="101">
        <v>85.0</v>
      </c>
      <c r="Z36" s="101">
        <v>80.0</v>
      </c>
      <c r="AA36" s="101">
        <v>83.0</v>
      </c>
      <c r="AB36" s="102">
        <v>86.0</v>
      </c>
      <c r="AC36" s="102">
        <v>86.0</v>
      </c>
      <c r="AD36" s="103">
        <f t="shared" si="4"/>
        <v>85</v>
      </c>
      <c r="AE36" s="104">
        <v>90.0</v>
      </c>
      <c r="AF36" s="104">
        <v>85.0</v>
      </c>
      <c r="AG36" s="104">
        <v>80.0</v>
      </c>
      <c r="AH36" s="104">
        <v>82.0</v>
      </c>
      <c r="AI36" s="105">
        <v>86.0</v>
      </c>
      <c r="AJ36" s="105">
        <v>86.0</v>
      </c>
      <c r="AK36" s="105">
        <f t="shared" si="10"/>
        <v>85</v>
      </c>
      <c r="AL36" s="53">
        <v>65.0</v>
      </c>
      <c r="AM36" s="54">
        <v>57.0</v>
      </c>
      <c r="AN36" s="53">
        <f t="shared" si="5"/>
        <v>61.8</v>
      </c>
      <c r="AO36" s="56">
        <f t="shared" si="6"/>
        <v>80</v>
      </c>
      <c r="AP36" s="57" t="str">
        <f t="shared" si="7"/>
        <v>B</v>
      </c>
    </row>
    <row r="37">
      <c r="A37" s="42">
        <v>34.0</v>
      </c>
      <c r="B37" s="44">
        <v>6.0200125156E10</v>
      </c>
      <c r="C37" s="44" t="s">
        <v>92</v>
      </c>
      <c r="D37" s="45">
        <v>1.0</v>
      </c>
      <c r="E37" s="45">
        <v>1.0</v>
      </c>
      <c r="F37" s="45">
        <v>1.0</v>
      </c>
      <c r="G37" s="45">
        <v>1.0</v>
      </c>
      <c r="H37" s="45">
        <v>1.0</v>
      </c>
      <c r="I37" s="45">
        <v>1.0</v>
      </c>
      <c r="J37" s="45">
        <v>0.5</v>
      </c>
      <c r="K37" s="45">
        <v>0.0</v>
      </c>
      <c r="L37" s="45">
        <f t="shared" si="1"/>
        <v>1</v>
      </c>
      <c r="M37" s="45">
        <v>1.0</v>
      </c>
      <c r="N37" s="46">
        <f t="shared" si="2"/>
        <v>8.5</v>
      </c>
      <c r="O37" s="46">
        <f t="shared" si="3"/>
        <v>85</v>
      </c>
      <c r="P37" s="63">
        <f>(80+83)/2</f>
        <v>81.5</v>
      </c>
      <c r="Q37" s="63">
        <f>(81+85)/2</f>
        <v>83</v>
      </c>
      <c r="R37" s="63">
        <v>86.0</v>
      </c>
      <c r="S37" s="63">
        <v>84.5</v>
      </c>
      <c r="T37" s="63">
        <f>40+25</f>
        <v>65</v>
      </c>
      <c r="U37" s="95">
        <v>50.0</v>
      </c>
      <c r="V37" s="95">
        <v>80.0</v>
      </c>
      <c r="W37" s="48">
        <f t="shared" si="11"/>
        <v>76</v>
      </c>
      <c r="X37" s="107">
        <v>86.0</v>
      </c>
      <c r="Y37" s="107">
        <v>83.0</v>
      </c>
      <c r="Z37" s="107">
        <v>87.0</v>
      </c>
      <c r="AA37" s="107">
        <v>87.0</v>
      </c>
      <c r="AB37" s="108">
        <v>86.0</v>
      </c>
      <c r="AC37" s="108">
        <v>40.0</v>
      </c>
      <c r="AD37" s="103">
        <f t="shared" si="4"/>
        <v>78</v>
      </c>
      <c r="AE37" s="109">
        <v>86.0</v>
      </c>
      <c r="AF37" s="109">
        <v>83.0</v>
      </c>
      <c r="AG37" s="109">
        <v>87.0</v>
      </c>
      <c r="AH37" s="109">
        <v>87.0</v>
      </c>
      <c r="AI37" s="110">
        <v>86.0</v>
      </c>
      <c r="AJ37" s="110">
        <v>0.0</v>
      </c>
      <c r="AK37" s="110">
        <f t="shared" si="10"/>
        <v>72</v>
      </c>
      <c r="AL37" s="53">
        <v>82.0</v>
      </c>
      <c r="AM37" s="54">
        <v>40.0</v>
      </c>
      <c r="AN37" s="53">
        <f t="shared" si="5"/>
        <v>65.2</v>
      </c>
      <c r="AO37" s="56">
        <f t="shared" si="6"/>
        <v>74</v>
      </c>
      <c r="AP37" s="57" t="str">
        <f t="shared" si="7"/>
        <v>C</v>
      </c>
    </row>
    <row r="38">
      <c r="A38" s="111"/>
      <c r="B38" s="112"/>
      <c r="C38" s="112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4"/>
      <c r="Q38" s="114"/>
      <c r="R38" s="114"/>
      <c r="S38" s="114"/>
      <c r="T38" s="114"/>
      <c r="U38" s="114"/>
      <c r="V38" s="115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6"/>
      <c r="AL38" s="117"/>
      <c r="AM38" s="117"/>
      <c r="AN38" s="117"/>
      <c r="AO38" s="90"/>
      <c r="AP38" s="90"/>
    </row>
    <row r="39">
      <c r="A39" s="118">
        <v>1.0</v>
      </c>
      <c r="B39" s="118" t="s">
        <v>47</v>
      </c>
      <c r="C39" s="119" t="s">
        <v>48</v>
      </c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6"/>
      <c r="AL39" s="117"/>
      <c r="AM39" s="117"/>
      <c r="AN39" s="117"/>
      <c r="AO39" s="90"/>
      <c r="AP39" s="90"/>
    </row>
    <row r="40">
      <c r="A40" s="118">
        <v>2.0</v>
      </c>
      <c r="B40" s="118" t="s">
        <v>49</v>
      </c>
      <c r="C40" s="121" t="s">
        <v>50</v>
      </c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6"/>
      <c r="AL40" s="117"/>
      <c r="AM40" s="117"/>
      <c r="AN40" s="117"/>
      <c r="AO40" s="90"/>
      <c r="AP40" s="90"/>
    </row>
    <row r="41">
      <c r="A41" s="119" t="s">
        <v>51</v>
      </c>
      <c r="B41" s="122"/>
      <c r="C41" s="122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6"/>
      <c r="AL41" s="117"/>
      <c r="AM41" s="117"/>
      <c r="AN41" s="117"/>
      <c r="AO41" s="90"/>
      <c r="AP41" s="90"/>
    </row>
    <row r="42">
      <c r="A42" s="119" t="s">
        <v>52</v>
      </c>
      <c r="B42" s="122"/>
      <c r="C42" s="122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6"/>
      <c r="AL42" s="117"/>
      <c r="AM42" s="117"/>
      <c r="AN42" s="117"/>
      <c r="AO42" s="90"/>
      <c r="AP42" s="90"/>
    </row>
    <row r="43">
      <c r="AK43" s="88"/>
      <c r="AL43" s="91"/>
      <c r="AM43" s="91"/>
      <c r="AN43" s="91"/>
      <c r="AO43" s="91"/>
      <c r="AP43" s="91"/>
    </row>
    <row r="44">
      <c r="AK44" s="88"/>
      <c r="AL44" s="91"/>
      <c r="AM44" s="91"/>
      <c r="AN44" s="91"/>
      <c r="AO44" s="91"/>
      <c r="AP44" s="91"/>
    </row>
    <row r="45">
      <c r="C45" s="123" t="s">
        <v>53</v>
      </c>
      <c r="D45" s="124">
        <v>0.1</v>
      </c>
      <c r="E45" s="125"/>
      <c r="F45" s="126"/>
      <c r="G45" s="126"/>
      <c r="H45" s="126"/>
      <c r="I45" s="126"/>
      <c r="J45" s="126"/>
      <c r="K45" s="125"/>
      <c r="L45" s="125"/>
      <c r="M45" s="125"/>
      <c r="AK45" s="88"/>
      <c r="AL45" s="91"/>
      <c r="AM45" s="91"/>
      <c r="AN45" s="91"/>
      <c r="AO45" s="91"/>
      <c r="AP45" s="91"/>
    </row>
    <row r="46">
      <c r="C46" s="127" t="s">
        <v>6</v>
      </c>
      <c r="D46" s="128">
        <v>0.15</v>
      </c>
      <c r="E46" s="125"/>
      <c r="F46" s="126"/>
      <c r="G46" s="129"/>
      <c r="H46" s="129"/>
      <c r="I46" s="129"/>
      <c r="J46" s="126"/>
      <c r="K46" s="125"/>
      <c r="L46" s="125"/>
      <c r="M46" s="125"/>
      <c r="AK46" s="88"/>
      <c r="AL46" s="91"/>
      <c r="AM46" s="91"/>
      <c r="AN46" s="91"/>
      <c r="AO46" s="91"/>
      <c r="AP46" s="91"/>
    </row>
    <row r="47">
      <c r="C47" s="127" t="s">
        <v>54</v>
      </c>
      <c r="D47" s="128">
        <v>0.15</v>
      </c>
      <c r="E47" s="125"/>
      <c r="F47" s="126"/>
      <c r="G47" s="129"/>
      <c r="H47" s="129"/>
      <c r="I47" s="129"/>
      <c r="J47" s="126"/>
      <c r="K47" s="125"/>
      <c r="L47" s="125"/>
      <c r="M47" s="125"/>
      <c r="AK47" s="88"/>
      <c r="AL47" s="91"/>
      <c r="AM47" s="91"/>
      <c r="AN47" s="91"/>
      <c r="AO47" s="91"/>
      <c r="AP47" s="91"/>
    </row>
    <row r="48">
      <c r="C48" s="127" t="s">
        <v>55</v>
      </c>
      <c r="D48" s="128">
        <v>0.35</v>
      </c>
      <c r="E48" s="125"/>
      <c r="F48" s="126"/>
      <c r="G48" s="129"/>
      <c r="H48" s="129"/>
      <c r="I48" s="129"/>
      <c r="J48" s="126"/>
      <c r="K48" s="125"/>
      <c r="L48" s="125"/>
      <c r="M48" s="125"/>
      <c r="AK48" s="88"/>
      <c r="AL48" s="91"/>
      <c r="AM48" s="91"/>
      <c r="AN48" s="91"/>
      <c r="AO48" s="91"/>
      <c r="AP48" s="91"/>
    </row>
    <row r="49">
      <c r="C49" s="127" t="s">
        <v>56</v>
      </c>
      <c r="D49" s="128">
        <v>0.25</v>
      </c>
      <c r="E49" s="125"/>
      <c r="F49" s="126"/>
      <c r="G49" s="129"/>
      <c r="H49" s="129"/>
      <c r="I49" s="129"/>
      <c r="J49" s="126"/>
      <c r="K49" s="125"/>
      <c r="L49" s="125"/>
      <c r="M49" s="125"/>
      <c r="AK49" s="88"/>
      <c r="AL49" s="91"/>
      <c r="AM49" s="91"/>
      <c r="AN49" s="91"/>
      <c r="AO49" s="91"/>
      <c r="AP49" s="91"/>
    </row>
    <row r="50">
      <c r="F50" s="130"/>
      <c r="G50" s="129"/>
      <c r="H50" s="129"/>
      <c r="I50" s="131"/>
      <c r="J50" s="130"/>
      <c r="AK50" s="88"/>
      <c r="AL50" s="91"/>
      <c r="AM50" s="91"/>
      <c r="AN50" s="91"/>
      <c r="AO50" s="91"/>
      <c r="AP50" s="91"/>
    </row>
    <row r="51">
      <c r="C51" s="132" t="s">
        <v>57</v>
      </c>
      <c r="F51" s="130"/>
      <c r="G51" s="129"/>
      <c r="H51" s="131"/>
      <c r="I51" s="131"/>
      <c r="J51" s="133"/>
      <c r="AK51" s="88"/>
      <c r="AL51" s="91"/>
      <c r="AM51" s="91"/>
      <c r="AN51" s="91"/>
      <c r="AO51" s="91"/>
      <c r="AP51" s="91"/>
    </row>
    <row r="52">
      <c r="C52" s="134" t="s">
        <v>86</v>
      </c>
      <c r="AK52" s="88"/>
      <c r="AL52" s="90"/>
      <c r="AM52" s="91"/>
      <c r="AN52" s="90"/>
      <c r="AO52" s="91"/>
      <c r="AP52" s="91"/>
    </row>
    <row r="53">
      <c r="C53" s="135"/>
      <c r="AK53" s="88"/>
      <c r="AL53" s="90"/>
      <c r="AM53" s="91"/>
      <c r="AN53" s="90"/>
      <c r="AO53" s="91"/>
      <c r="AP53" s="91"/>
    </row>
    <row r="54">
      <c r="C54" s="136"/>
      <c r="AK54" s="88"/>
      <c r="AL54" s="90"/>
      <c r="AM54" s="91"/>
      <c r="AN54" s="90"/>
      <c r="AO54" s="91"/>
      <c r="AP54" s="91"/>
    </row>
    <row r="55">
      <c r="AK55" s="88"/>
      <c r="AL55" s="90"/>
      <c r="AM55" s="91"/>
      <c r="AN55" s="90"/>
      <c r="AO55" s="91"/>
      <c r="AP55" s="91"/>
    </row>
    <row r="56">
      <c r="AK56" s="88"/>
      <c r="AL56" s="90"/>
      <c r="AM56" s="91"/>
      <c r="AN56" s="90"/>
      <c r="AO56" s="91"/>
      <c r="AP56" s="91"/>
    </row>
    <row r="57">
      <c r="AK57" s="88"/>
      <c r="AL57" s="90"/>
      <c r="AM57" s="91"/>
      <c r="AN57" s="90"/>
      <c r="AO57" s="91"/>
      <c r="AP57" s="91"/>
    </row>
    <row r="58">
      <c r="AK58" s="88"/>
      <c r="AL58" s="90"/>
      <c r="AM58" s="91"/>
      <c r="AN58" s="90"/>
      <c r="AO58" s="91"/>
      <c r="AP58" s="91"/>
    </row>
    <row r="59">
      <c r="AK59" s="88"/>
      <c r="AL59" s="90"/>
      <c r="AM59" s="91"/>
      <c r="AN59" s="90"/>
      <c r="AO59" s="91"/>
      <c r="AP59" s="91"/>
    </row>
    <row r="60">
      <c r="AK60" s="88"/>
      <c r="AL60" s="90"/>
      <c r="AM60" s="91"/>
      <c r="AN60" s="90"/>
      <c r="AO60" s="91"/>
      <c r="AP60" s="91"/>
    </row>
    <row r="61">
      <c r="AK61" s="88"/>
      <c r="AL61" s="90"/>
      <c r="AM61" s="91"/>
      <c r="AN61" s="90"/>
      <c r="AO61" s="91"/>
      <c r="AP61" s="91"/>
    </row>
    <row r="62">
      <c r="AK62" s="88"/>
      <c r="AL62" s="90"/>
      <c r="AM62" s="91"/>
      <c r="AN62" s="90"/>
      <c r="AO62" s="91"/>
      <c r="AP62" s="91"/>
    </row>
    <row r="63">
      <c r="AK63" s="88"/>
      <c r="AL63" s="90"/>
      <c r="AM63" s="91"/>
      <c r="AN63" s="90"/>
      <c r="AO63" s="91"/>
      <c r="AP63" s="91"/>
    </row>
    <row r="64">
      <c r="AK64" s="88"/>
      <c r="AL64" s="90"/>
      <c r="AM64" s="91"/>
      <c r="AN64" s="90"/>
      <c r="AO64" s="91"/>
      <c r="AP64" s="91"/>
    </row>
    <row r="65">
      <c r="AK65" s="88"/>
      <c r="AL65" s="90"/>
      <c r="AM65" s="91"/>
      <c r="AN65" s="90"/>
      <c r="AO65" s="91"/>
      <c r="AP65" s="91"/>
    </row>
    <row r="66">
      <c r="AK66" s="88"/>
      <c r="AL66" s="90"/>
      <c r="AM66" s="91"/>
      <c r="AN66" s="90"/>
      <c r="AO66" s="91"/>
      <c r="AP66" s="91"/>
    </row>
    <row r="67">
      <c r="AK67" s="88"/>
      <c r="AL67" s="90"/>
      <c r="AM67" s="91"/>
      <c r="AN67" s="90"/>
      <c r="AO67" s="91"/>
      <c r="AP67" s="91"/>
    </row>
    <row r="68">
      <c r="AK68" s="88"/>
      <c r="AL68" s="90"/>
      <c r="AM68" s="91"/>
      <c r="AN68" s="90"/>
      <c r="AO68" s="91"/>
      <c r="AP68" s="91"/>
    </row>
    <row r="69">
      <c r="AK69" s="88"/>
      <c r="AL69" s="90"/>
      <c r="AM69" s="91"/>
      <c r="AN69" s="90"/>
      <c r="AO69" s="91"/>
      <c r="AP69" s="91"/>
    </row>
    <row r="70">
      <c r="AK70" s="88"/>
      <c r="AL70" s="90"/>
      <c r="AM70" s="91"/>
      <c r="AN70" s="90"/>
      <c r="AO70" s="91"/>
      <c r="AP70" s="91"/>
    </row>
    <row r="71">
      <c r="AK71" s="88"/>
      <c r="AL71" s="90"/>
      <c r="AM71" s="91"/>
      <c r="AN71" s="90"/>
      <c r="AO71" s="91"/>
      <c r="AP71" s="91"/>
    </row>
    <row r="72">
      <c r="AK72" s="88"/>
      <c r="AL72" s="90"/>
      <c r="AM72" s="91"/>
      <c r="AN72" s="90"/>
      <c r="AO72" s="91"/>
      <c r="AP72" s="91"/>
    </row>
    <row r="73">
      <c r="AK73" s="88"/>
      <c r="AL73" s="90"/>
      <c r="AM73" s="91"/>
      <c r="AN73" s="90"/>
      <c r="AO73" s="91"/>
      <c r="AP73" s="91"/>
    </row>
    <row r="74">
      <c r="AK74" s="88"/>
      <c r="AL74" s="90"/>
      <c r="AM74" s="91"/>
      <c r="AN74" s="90"/>
      <c r="AO74" s="91"/>
      <c r="AP74" s="91"/>
    </row>
    <row r="75">
      <c r="AK75" s="88"/>
      <c r="AL75" s="90"/>
      <c r="AM75" s="91"/>
      <c r="AN75" s="90"/>
      <c r="AO75" s="91"/>
      <c r="AP75" s="91"/>
    </row>
    <row r="76">
      <c r="AK76" s="88"/>
      <c r="AL76" s="90"/>
      <c r="AM76" s="91"/>
      <c r="AN76" s="90"/>
      <c r="AO76" s="91"/>
      <c r="AP76" s="91"/>
    </row>
    <row r="77">
      <c r="AK77" s="88"/>
      <c r="AL77" s="90"/>
      <c r="AM77" s="91"/>
      <c r="AN77" s="90"/>
      <c r="AO77" s="91"/>
      <c r="AP77" s="91"/>
    </row>
    <row r="78">
      <c r="AK78" s="88"/>
      <c r="AL78" s="90"/>
      <c r="AM78" s="91"/>
      <c r="AN78" s="90"/>
      <c r="AO78" s="91"/>
      <c r="AP78" s="91"/>
    </row>
    <row r="79">
      <c r="AK79" s="88"/>
      <c r="AL79" s="90"/>
      <c r="AM79" s="91"/>
      <c r="AN79" s="90"/>
      <c r="AO79" s="91"/>
      <c r="AP79" s="91"/>
    </row>
    <row r="80">
      <c r="AK80" s="88"/>
      <c r="AL80" s="90"/>
      <c r="AM80" s="91"/>
      <c r="AN80" s="90"/>
      <c r="AO80" s="91"/>
      <c r="AP80" s="91"/>
    </row>
    <row r="81">
      <c r="AK81" s="88"/>
      <c r="AL81" s="90"/>
      <c r="AM81" s="91"/>
      <c r="AN81" s="90"/>
      <c r="AO81" s="91"/>
      <c r="AP81" s="91"/>
    </row>
    <row r="82">
      <c r="AK82" s="88"/>
      <c r="AL82" s="90"/>
      <c r="AM82" s="91"/>
      <c r="AN82" s="90"/>
      <c r="AO82" s="91"/>
      <c r="AP82" s="91"/>
    </row>
    <row r="83">
      <c r="AK83" s="88"/>
      <c r="AL83" s="90"/>
      <c r="AM83" s="91"/>
      <c r="AN83" s="90"/>
      <c r="AO83" s="91"/>
      <c r="AP83" s="91"/>
    </row>
    <row r="84">
      <c r="AK84" s="88"/>
      <c r="AL84" s="90"/>
      <c r="AM84" s="91"/>
      <c r="AN84" s="90"/>
      <c r="AO84" s="91"/>
      <c r="AP84" s="91"/>
    </row>
    <row r="85">
      <c r="AK85" s="88"/>
      <c r="AL85" s="90"/>
      <c r="AM85" s="91"/>
      <c r="AN85" s="90"/>
      <c r="AO85" s="91"/>
      <c r="AP85" s="91"/>
    </row>
    <row r="86">
      <c r="AK86" s="88"/>
      <c r="AL86" s="91"/>
      <c r="AM86" s="91"/>
      <c r="AN86" s="91"/>
      <c r="AO86" s="91"/>
      <c r="AP86" s="91"/>
    </row>
    <row r="87">
      <c r="AK87" s="88"/>
      <c r="AL87" s="91"/>
      <c r="AM87" s="91"/>
      <c r="AN87" s="91"/>
      <c r="AO87" s="91"/>
      <c r="AP87" s="91"/>
    </row>
    <row r="88">
      <c r="AK88" s="88"/>
      <c r="AL88" s="91"/>
      <c r="AM88" s="91"/>
      <c r="AN88" s="91"/>
      <c r="AO88" s="91"/>
      <c r="AP88" s="91"/>
    </row>
    <row r="89">
      <c r="AK89" s="88"/>
      <c r="AL89" s="91"/>
      <c r="AM89" s="91"/>
      <c r="AN89" s="91"/>
      <c r="AO89" s="91"/>
      <c r="AP89" s="91"/>
    </row>
    <row r="90">
      <c r="AK90" s="88"/>
      <c r="AL90" s="91"/>
      <c r="AM90" s="91"/>
      <c r="AN90" s="91"/>
      <c r="AO90" s="91"/>
      <c r="AP90" s="91"/>
    </row>
    <row r="91">
      <c r="AK91" s="88"/>
      <c r="AL91" s="91"/>
      <c r="AM91" s="91"/>
      <c r="AN91" s="91"/>
      <c r="AO91" s="91"/>
      <c r="AP91" s="91"/>
    </row>
    <row r="92">
      <c r="AK92" s="88"/>
      <c r="AL92" s="91"/>
      <c r="AM92" s="91"/>
      <c r="AN92" s="91"/>
      <c r="AO92" s="91"/>
      <c r="AP92" s="91"/>
    </row>
    <row r="93">
      <c r="AK93" s="88"/>
      <c r="AL93" s="91"/>
      <c r="AM93" s="91"/>
      <c r="AN93" s="91"/>
      <c r="AO93" s="91"/>
      <c r="AP93" s="91"/>
    </row>
    <row r="94">
      <c r="AK94" s="88"/>
      <c r="AL94" s="91"/>
      <c r="AM94" s="91"/>
      <c r="AN94" s="91"/>
      <c r="AO94" s="91"/>
      <c r="AP94" s="91"/>
    </row>
    <row r="95">
      <c r="AK95" s="88"/>
      <c r="AL95" s="91"/>
      <c r="AM95" s="91"/>
      <c r="AN95" s="91"/>
      <c r="AO95" s="91"/>
      <c r="AP95" s="91"/>
    </row>
    <row r="96">
      <c r="AK96" s="88"/>
      <c r="AL96" s="91"/>
      <c r="AM96" s="91"/>
      <c r="AN96" s="91"/>
      <c r="AO96" s="91"/>
      <c r="AP96" s="91"/>
    </row>
    <row r="97">
      <c r="AK97" s="88"/>
      <c r="AL97" s="91"/>
      <c r="AM97" s="91"/>
      <c r="AN97" s="91"/>
      <c r="AO97" s="91"/>
      <c r="AP97" s="91"/>
    </row>
    <row r="98">
      <c r="AK98" s="88"/>
      <c r="AL98" s="91"/>
      <c r="AM98" s="91"/>
      <c r="AN98" s="91"/>
      <c r="AO98" s="91"/>
      <c r="AP98" s="91"/>
    </row>
    <row r="99">
      <c r="AK99" s="88"/>
      <c r="AL99" s="91"/>
      <c r="AM99" s="91"/>
      <c r="AN99" s="91"/>
      <c r="AO99" s="91"/>
      <c r="AP99" s="91"/>
    </row>
    <row r="100">
      <c r="AK100" s="88"/>
      <c r="AL100" s="91"/>
      <c r="AM100" s="91"/>
      <c r="AN100" s="91"/>
      <c r="AO100" s="91"/>
      <c r="AP100" s="91"/>
    </row>
    <row r="101">
      <c r="AK101" s="88"/>
      <c r="AL101" s="91"/>
      <c r="AM101" s="91"/>
      <c r="AN101" s="91"/>
      <c r="AO101" s="91"/>
      <c r="AP101" s="91"/>
    </row>
    <row r="102">
      <c r="AK102" s="88"/>
      <c r="AL102" s="91"/>
      <c r="AM102" s="91"/>
      <c r="AN102" s="91"/>
      <c r="AO102" s="91"/>
      <c r="AP102" s="91"/>
    </row>
    <row r="103">
      <c r="AK103" s="88"/>
      <c r="AL103" s="91"/>
      <c r="AM103" s="91"/>
      <c r="AN103" s="91"/>
      <c r="AO103" s="91"/>
      <c r="AP103" s="91"/>
    </row>
    <row r="104">
      <c r="AK104" s="88"/>
      <c r="AL104" s="91"/>
      <c r="AM104" s="91"/>
      <c r="AN104" s="91"/>
      <c r="AO104" s="91"/>
      <c r="AP104" s="91"/>
    </row>
    <row r="105">
      <c r="AK105" s="88"/>
      <c r="AL105" s="91"/>
      <c r="AM105" s="91"/>
      <c r="AN105" s="91"/>
      <c r="AO105" s="91"/>
      <c r="AP105" s="91"/>
    </row>
    <row r="106">
      <c r="AK106" s="88"/>
      <c r="AL106" s="91"/>
      <c r="AM106" s="91"/>
      <c r="AN106" s="91"/>
      <c r="AO106" s="91"/>
      <c r="AP106" s="91"/>
    </row>
    <row r="107">
      <c r="AK107" s="88"/>
      <c r="AL107" s="91"/>
      <c r="AM107" s="91"/>
      <c r="AN107" s="91"/>
      <c r="AO107" s="91"/>
      <c r="AP107" s="91"/>
    </row>
    <row r="108">
      <c r="AK108" s="88"/>
      <c r="AL108" s="91"/>
      <c r="AM108" s="91"/>
      <c r="AN108" s="91"/>
      <c r="AO108" s="91"/>
      <c r="AP108" s="91"/>
    </row>
    <row r="109">
      <c r="AK109" s="88"/>
      <c r="AL109" s="91"/>
      <c r="AM109" s="91"/>
      <c r="AN109" s="91"/>
      <c r="AO109" s="91"/>
      <c r="AP109" s="91"/>
    </row>
    <row r="110">
      <c r="AK110" s="88"/>
      <c r="AL110" s="91"/>
      <c r="AM110" s="91"/>
      <c r="AN110" s="91"/>
      <c r="AO110" s="91"/>
      <c r="AP110" s="91"/>
    </row>
    <row r="111">
      <c r="AK111" s="88"/>
      <c r="AL111" s="91"/>
      <c r="AM111" s="91"/>
      <c r="AN111" s="91"/>
      <c r="AO111" s="91"/>
      <c r="AP111" s="91"/>
    </row>
    <row r="112">
      <c r="AK112" s="88"/>
      <c r="AL112" s="91"/>
      <c r="AM112" s="91"/>
      <c r="AN112" s="91"/>
      <c r="AO112" s="91"/>
      <c r="AP112" s="91"/>
    </row>
    <row r="113">
      <c r="AK113" s="88"/>
      <c r="AL113" s="91"/>
      <c r="AM113" s="91"/>
      <c r="AN113" s="91"/>
      <c r="AO113" s="91"/>
      <c r="AP113" s="91"/>
    </row>
    <row r="114">
      <c r="AK114" s="88"/>
      <c r="AL114" s="91"/>
      <c r="AM114" s="91"/>
      <c r="AN114" s="91"/>
      <c r="AO114" s="91"/>
      <c r="AP114" s="91"/>
    </row>
    <row r="115">
      <c r="AK115" s="88"/>
      <c r="AL115" s="91"/>
      <c r="AM115" s="91"/>
      <c r="AN115" s="91"/>
      <c r="AO115" s="91"/>
      <c r="AP115" s="91"/>
    </row>
    <row r="116">
      <c r="AK116" s="88"/>
      <c r="AL116" s="91"/>
      <c r="AM116" s="91"/>
      <c r="AN116" s="91"/>
      <c r="AO116" s="91"/>
      <c r="AP116" s="91"/>
    </row>
    <row r="117">
      <c r="AK117" s="88"/>
      <c r="AL117" s="91"/>
      <c r="AM117" s="91"/>
      <c r="AN117" s="91"/>
      <c r="AO117" s="91"/>
      <c r="AP117" s="91"/>
    </row>
    <row r="118">
      <c r="AK118" s="88"/>
      <c r="AL118" s="91"/>
      <c r="AM118" s="91"/>
      <c r="AN118" s="91"/>
      <c r="AO118" s="91"/>
      <c r="AP118" s="91"/>
    </row>
    <row r="119">
      <c r="AK119" s="88"/>
      <c r="AL119" s="91"/>
      <c r="AM119" s="91"/>
      <c r="AN119" s="91"/>
      <c r="AO119" s="91"/>
      <c r="AP119" s="91"/>
    </row>
    <row r="120">
      <c r="AK120" s="88"/>
      <c r="AL120" s="91"/>
      <c r="AM120" s="91"/>
      <c r="AN120" s="91"/>
      <c r="AO120" s="91"/>
      <c r="AP120" s="91"/>
    </row>
    <row r="121">
      <c r="AK121" s="88"/>
      <c r="AL121" s="91"/>
      <c r="AM121" s="91"/>
      <c r="AN121" s="91"/>
      <c r="AO121" s="91"/>
      <c r="AP121" s="91"/>
    </row>
    <row r="122">
      <c r="AK122" s="88"/>
      <c r="AL122" s="91"/>
      <c r="AM122" s="91"/>
      <c r="AN122" s="91"/>
      <c r="AO122" s="91"/>
      <c r="AP122" s="91"/>
    </row>
    <row r="123">
      <c r="AK123" s="88"/>
      <c r="AL123" s="91"/>
      <c r="AM123" s="91"/>
      <c r="AN123" s="91"/>
      <c r="AO123" s="91"/>
      <c r="AP123" s="91"/>
    </row>
    <row r="124">
      <c r="AK124" s="88"/>
      <c r="AL124" s="91"/>
      <c r="AM124" s="91"/>
      <c r="AN124" s="91"/>
      <c r="AO124" s="91"/>
      <c r="AP124" s="91"/>
    </row>
    <row r="125">
      <c r="AK125" s="88"/>
      <c r="AL125" s="91"/>
      <c r="AM125" s="91"/>
      <c r="AN125" s="91"/>
      <c r="AO125" s="91"/>
      <c r="AP125" s="91"/>
    </row>
    <row r="126">
      <c r="AK126" s="88"/>
      <c r="AL126" s="91"/>
      <c r="AM126" s="91"/>
      <c r="AN126" s="91"/>
      <c r="AO126" s="91"/>
      <c r="AP126" s="91"/>
    </row>
    <row r="127">
      <c r="AK127" s="88"/>
      <c r="AL127" s="91"/>
      <c r="AM127" s="91"/>
      <c r="AN127" s="91"/>
      <c r="AO127" s="91"/>
      <c r="AP127" s="91"/>
    </row>
    <row r="128">
      <c r="AK128" s="88"/>
      <c r="AL128" s="91"/>
      <c r="AM128" s="91"/>
      <c r="AN128" s="91"/>
      <c r="AO128" s="91"/>
      <c r="AP128" s="91"/>
    </row>
    <row r="129">
      <c r="AK129" s="88"/>
      <c r="AL129" s="91"/>
      <c r="AM129" s="91"/>
      <c r="AN129" s="91"/>
      <c r="AO129" s="91"/>
      <c r="AP129" s="91"/>
    </row>
    <row r="130">
      <c r="AK130" s="88"/>
      <c r="AL130" s="91"/>
      <c r="AM130" s="91"/>
      <c r="AN130" s="91"/>
      <c r="AO130" s="91"/>
      <c r="AP130" s="91"/>
    </row>
    <row r="131">
      <c r="AK131" s="88"/>
      <c r="AL131" s="91"/>
      <c r="AM131" s="91"/>
      <c r="AN131" s="91"/>
      <c r="AO131" s="91"/>
      <c r="AP131" s="91"/>
    </row>
    <row r="132">
      <c r="AK132" s="88"/>
      <c r="AL132" s="91"/>
      <c r="AM132" s="91"/>
      <c r="AN132" s="91"/>
      <c r="AO132" s="91"/>
      <c r="AP132" s="91"/>
    </row>
    <row r="133">
      <c r="AK133" s="88"/>
      <c r="AL133" s="91"/>
      <c r="AM133" s="91"/>
      <c r="AN133" s="91"/>
      <c r="AO133" s="91"/>
      <c r="AP133" s="91"/>
    </row>
    <row r="134">
      <c r="AK134" s="88"/>
      <c r="AL134" s="91"/>
      <c r="AM134" s="91"/>
      <c r="AN134" s="91"/>
      <c r="AO134" s="91"/>
      <c r="AP134" s="91"/>
    </row>
    <row r="135">
      <c r="AK135" s="88"/>
      <c r="AL135" s="91"/>
      <c r="AM135" s="91"/>
      <c r="AN135" s="91"/>
      <c r="AO135" s="91"/>
      <c r="AP135" s="91"/>
    </row>
    <row r="136">
      <c r="AK136" s="88"/>
      <c r="AL136" s="91"/>
      <c r="AM136" s="91"/>
      <c r="AN136" s="91"/>
      <c r="AO136" s="91"/>
      <c r="AP136" s="91"/>
    </row>
    <row r="137">
      <c r="AK137" s="88"/>
      <c r="AL137" s="91"/>
      <c r="AM137" s="91"/>
      <c r="AN137" s="91"/>
      <c r="AO137" s="91"/>
      <c r="AP137" s="91"/>
    </row>
    <row r="138">
      <c r="AK138" s="88"/>
      <c r="AL138" s="91"/>
      <c r="AM138" s="91"/>
      <c r="AN138" s="91"/>
      <c r="AO138" s="91"/>
      <c r="AP138" s="91"/>
    </row>
    <row r="139">
      <c r="AK139" s="88"/>
      <c r="AL139" s="91"/>
      <c r="AM139" s="91"/>
      <c r="AN139" s="91"/>
      <c r="AO139" s="91"/>
      <c r="AP139" s="91"/>
    </row>
    <row r="140">
      <c r="AK140" s="88"/>
      <c r="AL140" s="91"/>
      <c r="AM140" s="91"/>
      <c r="AN140" s="91"/>
      <c r="AO140" s="91"/>
      <c r="AP140" s="91"/>
    </row>
    <row r="141">
      <c r="AK141" s="88"/>
      <c r="AL141" s="91"/>
      <c r="AM141" s="91"/>
      <c r="AN141" s="91"/>
      <c r="AO141" s="91"/>
      <c r="AP141" s="91"/>
    </row>
    <row r="142">
      <c r="AK142" s="88"/>
      <c r="AL142" s="91"/>
      <c r="AM142" s="91"/>
      <c r="AN142" s="91"/>
      <c r="AO142" s="91"/>
      <c r="AP142" s="91"/>
    </row>
    <row r="143">
      <c r="AK143" s="88"/>
      <c r="AL143" s="91"/>
      <c r="AM143" s="91"/>
      <c r="AN143" s="91"/>
      <c r="AO143" s="91"/>
      <c r="AP143" s="91"/>
    </row>
    <row r="144">
      <c r="AK144" s="88"/>
      <c r="AL144" s="91"/>
      <c r="AM144" s="91"/>
      <c r="AN144" s="91"/>
      <c r="AO144" s="91"/>
      <c r="AP144" s="91"/>
    </row>
    <row r="145">
      <c r="AK145" s="88"/>
      <c r="AL145" s="91"/>
      <c r="AM145" s="91"/>
      <c r="AN145" s="91"/>
      <c r="AO145" s="91"/>
      <c r="AP145" s="91"/>
    </row>
    <row r="146">
      <c r="AK146" s="88"/>
      <c r="AL146" s="91"/>
      <c r="AM146" s="91"/>
      <c r="AN146" s="91"/>
      <c r="AO146" s="91"/>
      <c r="AP146" s="91"/>
    </row>
    <row r="147">
      <c r="AK147" s="88"/>
      <c r="AL147" s="91"/>
      <c r="AM147" s="91"/>
      <c r="AN147" s="91"/>
      <c r="AO147" s="91"/>
      <c r="AP147" s="91"/>
    </row>
    <row r="148">
      <c r="AK148" s="88"/>
      <c r="AL148" s="91"/>
      <c r="AM148" s="91"/>
      <c r="AN148" s="91"/>
      <c r="AO148" s="91"/>
      <c r="AP148" s="91"/>
    </row>
    <row r="149">
      <c r="AK149" s="88"/>
      <c r="AL149" s="91"/>
      <c r="AM149" s="91"/>
      <c r="AN149" s="91"/>
      <c r="AO149" s="91"/>
      <c r="AP149" s="91"/>
    </row>
    <row r="150">
      <c r="AK150" s="88"/>
      <c r="AL150" s="91"/>
      <c r="AM150" s="91"/>
      <c r="AN150" s="91"/>
      <c r="AO150" s="91"/>
      <c r="AP150" s="91"/>
    </row>
    <row r="151">
      <c r="AK151" s="88"/>
      <c r="AL151" s="91"/>
      <c r="AM151" s="91"/>
      <c r="AN151" s="91"/>
      <c r="AO151" s="91"/>
      <c r="AP151" s="91"/>
    </row>
    <row r="152">
      <c r="AK152" s="88"/>
      <c r="AL152" s="91"/>
      <c r="AM152" s="91"/>
      <c r="AN152" s="91"/>
      <c r="AO152" s="91"/>
      <c r="AP152" s="91"/>
    </row>
    <row r="153">
      <c r="AK153" s="88"/>
      <c r="AL153" s="91"/>
      <c r="AM153" s="91"/>
      <c r="AN153" s="91"/>
      <c r="AO153" s="91"/>
      <c r="AP153" s="91"/>
    </row>
    <row r="154">
      <c r="AK154" s="88"/>
      <c r="AL154" s="91"/>
      <c r="AM154" s="91"/>
      <c r="AN154" s="91"/>
      <c r="AO154" s="91"/>
      <c r="AP154" s="91"/>
    </row>
    <row r="155">
      <c r="AK155" s="88"/>
      <c r="AL155" s="91"/>
      <c r="AM155" s="91"/>
      <c r="AN155" s="91"/>
      <c r="AO155" s="91"/>
      <c r="AP155" s="91"/>
    </row>
    <row r="156">
      <c r="AK156" s="88"/>
      <c r="AL156" s="91"/>
      <c r="AM156" s="91"/>
      <c r="AN156" s="91"/>
      <c r="AO156" s="91"/>
      <c r="AP156" s="91"/>
    </row>
    <row r="157">
      <c r="AK157" s="88"/>
      <c r="AL157" s="91"/>
      <c r="AM157" s="91"/>
      <c r="AN157" s="91"/>
      <c r="AO157" s="91"/>
      <c r="AP157" s="91"/>
    </row>
    <row r="158">
      <c r="AK158" s="88"/>
      <c r="AL158" s="91"/>
      <c r="AM158" s="91"/>
      <c r="AN158" s="91"/>
      <c r="AO158" s="91"/>
      <c r="AP158" s="91"/>
    </row>
    <row r="159">
      <c r="AK159" s="88"/>
      <c r="AL159" s="91"/>
      <c r="AM159" s="91"/>
      <c r="AN159" s="91"/>
      <c r="AO159" s="91"/>
      <c r="AP159" s="91"/>
    </row>
    <row r="160">
      <c r="AK160" s="88"/>
      <c r="AL160" s="91"/>
      <c r="AM160" s="91"/>
      <c r="AN160" s="91"/>
      <c r="AO160" s="91"/>
      <c r="AP160" s="91"/>
    </row>
    <row r="161">
      <c r="AK161" s="88"/>
      <c r="AL161" s="91"/>
      <c r="AM161" s="91"/>
      <c r="AN161" s="91"/>
      <c r="AO161" s="91"/>
      <c r="AP161" s="91"/>
    </row>
    <row r="162">
      <c r="AK162" s="88"/>
      <c r="AL162" s="91"/>
      <c r="AM162" s="91"/>
      <c r="AN162" s="91"/>
      <c r="AO162" s="91"/>
      <c r="AP162" s="91"/>
    </row>
    <row r="163">
      <c r="AK163" s="88"/>
      <c r="AL163" s="91"/>
      <c r="AM163" s="91"/>
      <c r="AN163" s="91"/>
      <c r="AO163" s="91"/>
      <c r="AP163" s="91"/>
    </row>
    <row r="164">
      <c r="AK164" s="88"/>
      <c r="AL164" s="91"/>
      <c r="AM164" s="91"/>
      <c r="AN164" s="91"/>
      <c r="AO164" s="91"/>
      <c r="AP164" s="91"/>
    </row>
    <row r="165">
      <c r="AK165" s="88"/>
      <c r="AL165" s="91"/>
      <c r="AM165" s="91"/>
      <c r="AN165" s="91"/>
      <c r="AO165" s="91"/>
      <c r="AP165" s="91"/>
    </row>
    <row r="166">
      <c r="AK166" s="88"/>
      <c r="AL166" s="91"/>
      <c r="AM166" s="91"/>
      <c r="AN166" s="91"/>
      <c r="AO166" s="91"/>
      <c r="AP166" s="91"/>
    </row>
    <row r="167">
      <c r="AK167" s="88"/>
      <c r="AL167" s="91"/>
      <c r="AM167" s="91"/>
      <c r="AN167" s="91"/>
      <c r="AO167" s="91"/>
      <c r="AP167" s="91"/>
    </row>
    <row r="168">
      <c r="AK168" s="88"/>
      <c r="AL168" s="91"/>
      <c r="AM168" s="91"/>
      <c r="AN168" s="91"/>
      <c r="AO168" s="91"/>
      <c r="AP168" s="91"/>
    </row>
    <row r="169">
      <c r="AK169" s="88"/>
      <c r="AL169" s="91"/>
      <c r="AM169" s="91"/>
      <c r="AN169" s="91"/>
      <c r="AO169" s="91"/>
      <c r="AP169" s="91"/>
    </row>
    <row r="170">
      <c r="AK170" s="88"/>
      <c r="AL170" s="91"/>
      <c r="AM170" s="91"/>
      <c r="AN170" s="91"/>
      <c r="AO170" s="91"/>
      <c r="AP170" s="91"/>
    </row>
    <row r="171">
      <c r="AK171" s="88"/>
      <c r="AL171" s="91"/>
      <c r="AM171" s="91"/>
      <c r="AN171" s="91"/>
      <c r="AO171" s="91"/>
      <c r="AP171" s="91"/>
    </row>
    <row r="172">
      <c r="AK172" s="88"/>
      <c r="AL172" s="91"/>
      <c r="AM172" s="91"/>
      <c r="AN172" s="91"/>
      <c r="AO172" s="91"/>
      <c r="AP172" s="91"/>
    </row>
    <row r="173">
      <c r="AK173" s="88"/>
      <c r="AL173" s="91"/>
      <c r="AM173" s="91"/>
      <c r="AN173" s="91"/>
      <c r="AO173" s="91"/>
      <c r="AP173" s="91"/>
    </row>
    <row r="174">
      <c r="AK174" s="88"/>
      <c r="AL174" s="91"/>
      <c r="AM174" s="91"/>
      <c r="AN174" s="91"/>
      <c r="AO174" s="91"/>
      <c r="AP174" s="91"/>
    </row>
    <row r="175">
      <c r="AK175" s="88"/>
      <c r="AL175" s="91"/>
      <c r="AM175" s="91"/>
      <c r="AN175" s="91"/>
      <c r="AO175" s="91"/>
      <c r="AP175" s="91"/>
    </row>
    <row r="176">
      <c r="AK176" s="88"/>
      <c r="AL176" s="91"/>
      <c r="AM176" s="91"/>
      <c r="AN176" s="91"/>
      <c r="AO176" s="91"/>
      <c r="AP176" s="91"/>
    </row>
    <row r="177">
      <c r="AK177" s="88"/>
      <c r="AL177" s="91"/>
      <c r="AM177" s="91"/>
      <c r="AN177" s="91"/>
      <c r="AO177" s="91"/>
      <c r="AP177" s="91"/>
    </row>
    <row r="178">
      <c r="AK178" s="88"/>
      <c r="AL178" s="91"/>
      <c r="AM178" s="91"/>
      <c r="AN178" s="91"/>
      <c r="AO178" s="91"/>
      <c r="AP178" s="91"/>
    </row>
    <row r="179">
      <c r="AK179" s="88"/>
      <c r="AL179" s="91"/>
      <c r="AM179" s="91"/>
      <c r="AN179" s="91"/>
      <c r="AO179" s="91"/>
      <c r="AP179" s="91"/>
    </row>
    <row r="180">
      <c r="AK180" s="88"/>
      <c r="AL180" s="91"/>
      <c r="AM180" s="91"/>
      <c r="AN180" s="91"/>
      <c r="AO180" s="91"/>
      <c r="AP180" s="91"/>
    </row>
    <row r="181">
      <c r="AK181" s="88"/>
      <c r="AL181" s="91"/>
      <c r="AM181" s="91"/>
      <c r="AN181" s="91"/>
      <c r="AO181" s="91"/>
      <c r="AP181" s="91"/>
    </row>
    <row r="182">
      <c r="AK182" s="88"/>
      <c r="AL182" s="91"/>
      <c r="AM182" s="91"/>
      <c r="AN182" s="91"/>
      <c r="AO182" s="91"/>
      <c r="AP182" s="91"/>
    </row>
    <row r="183">
      <c r="AK183" s="88"/>
      <c r="AL183" s="91"/>
      <c r="AM183" s="91"/>
      <c r="AN183" s="91"/>
      <c r="AO183" s="91"/>
      <c r="AP183" s="91"/>
    </row>
    <row r="184">
      <c r="AK184" s="88"/>
      <c r="AL184" s="91"/>
      <c r="AM184" s="91"/>
      <c r="AN184" s="91"/>
      <c r="AO184" s="91"/>
      <c r="AP184" s="91"/>
    </row>
    <row r="185">
      <c r="AK185" s="88"/>
      <c r="AL185" s="91"/>
      <c r="AM185" s="91"/>
      <c r="AN185" s="91"/>
      <c r="AO185" s="91"/>
      <c r="AP185" s="91"/>
    </row>
    <row r="186">
      <c r="AK186" s="88"/>
      <c r="AL186" s="91"/>
      <c r="AM186" s="91"/>
      <c r="AN186" s="91"/>
      <c r="AO186" s="91"/>
      <c r="AP186" s="91"/>
    </row>
    <row r="187">
      <c r="AK187" s="88"/>
      <c r="AL187" s="91"/>
      <c r="AM187" s="91"/>
      <c r="AN187" s="91"/>
      <c r="AO187" s="91"/>
      <c r="AP187" s="91"/>
    </row>
    <row r="188">
      <c r="AK188" s="88"/>
      <c r="AL188" s="91"/>
      <c r="AM188" s="91"/>
      <c r="AN188" s="91"/>
      <c r="AO188" s="91"/>
      <c r="AP188" s="91"/>
    </row>
    <row r="189">
      <c r="AK189" s="88"/>
      <c r="AL189" s="91"/>
      <c r="AM189" s="91"/>
      <c r="AN189" s="91"/>
      <c r="AO189" s="91"/>
      <c r="AP189" s="91"/>
    </row>
    <row r="190">
      <c r="AK190" s="88"/>
      <c r="AL190" s="91"/>
      <c r="AM190" s="91"/>
      <c r="AN190" s="91"/>
      <c r="AO190" s="91"/>
      <c r="AP190" s="91"/>
    </row>
    <row r="191">
      <c r="AK191" s="88"/>
      <c r="AL191" s="91"/>
      <c r="AM191" s="91"/>
      <c r="AN191" s="91"/>
      <c r="AO191" s="91"/>
      <c r="AP191" s="91"/>
    </row>
    <row r="192">
      <c r="AK192" s="88"/>
      <c r="AL192" s="91"/>
      <c r="AM192" s="91"/>
      <c r="AN192" s="91"/>
      <c r="AO192" s="91"/>
      <c r="AP192" s="91"/>
    </row>
    <row r="193">
      <c r="AK193" s="88"/>
      <c r="AL193" s="91"/>
      <c r="AM193" s="91"/>
      <c r="AN193" s="91"/>
      <c r="AO193" s="91"/>
      <c r="AP193" s="91"/>
    </row>
    <row r="194">
      <c r="AK194" s="88"/>
      <c r="AL194" s="91"/>
      <c r="AM194" s="91"/>
      <c r="AN194" s="91"/>
      <c r="AO194" s="91"/>
      <c r="AP194" s="91"/>
    </row>
    <row r="195">
      <c r="AK195" s="88"/>
      <c r="AL195" s="91"/>
      <c r="AM195" s="91"/>
      <c r="AN195" s="91"/>
      <c r="AO195" s="91"/>
      <c r="AP195" s="91"/>
    </row>
    <row r="196">
      <c r="AK196" s="88"/>
      <c r="AL196" s="91"/>
      <c r="AM196" s="91"/>
      <c r="AN196" s="91"/>
      <c r="AO196" s="91"/>
      <c r="AP196" s="91"/>
    </row>
    <row r="197">
      <c r="AK197" s="88"/>
      <c r="AL197" s="91"/>
      <c r="AM197" s="91"/>
      <c r="AN197" s="91"/>
      <c r="AO197" s="91"/>
      <c r="AP197" s="91"/>
    </row>
    <row r="198">
      <c r="AK198" s="88"/>
      <c r="AL198" s="91"/>
      <c r="AM198" s="91"/>
      <c r="AN198" s="91"/>
      <c r="AO198" s="91"/>
      <c r="AP198" s="91"/>
    </row>
    <row r="199">
      <c r="AK199" s="88"/>
      <c r="AL199" s="91"/>
      <c r="AM199" s="91"/>
      <c r="AN199" s="91"/>
      <c r="AO199" s="91"/>
      <c r="AP199" s="91"/>
    </row>
    <row r="200">
      <c r="AK200" s="88"/>
      <c r="AL200" s="91"/>
      <c r="AM200" s="91"/>
      <c r="AN200" s="91"/>
      <c r="AO200" s="91"/>
      <c r="AP200" s="91"/>
    </row>
    <row r="201">
      <c r="AK201" s="88"/>
      <c r="AL201" s="91"/>
      <c r="AM201" s="91"/>
      <c r="AN201" s="91"/>
      <c r="AO201" s="91"/>
      <c r="AP201" s="91"/>
    </row>
    <row r="202">
      <c r="AK202" s="88"/>
      <c r="AL202" s="91"/>
      <c r="AM202" s="91"/>
      <c r="AN202" s="91"/>
      <c r="AO202" s="91"/>
      <c r="AP202" s="91"/>
    </row>
    <row r="203">
      <c r="AK203" s="88"/>
      <c r="AL203" s="91"/>
      <c r="AM203" s="91"/>
      <c r="AN203" s="91"/>
      <c r="AO203" s="91"/>
      <c r="AP203" s="91"/>
    </row>
    <row r="204">
      <c r="AK204" s="88"/>
      <c r="AL204" s="91"/>
      <c r="AM204" s="91"/>
      <c r="AN204" s="91"/>
      <c r="AO204" s="91"/>
      <c r="AP204" s="91"/>
    </row>
    <row r="205">
      <c r="AK205" s="88"/>
      <c r="AL205" s="91"/>
      <c r="AM205" s="91"/>
      <c r="AN205" s="91"/>
      <c r="AO205" s="91"/>
      <c r="AP205" s="91"/>
    </row>
    <row r="206">
      <c r="AK206" s="88"/>
      <c r="AL206" s="91"/>
      <c r="AM206" s="91"/>
      <c r="AN206" s="91"/>
      <c r="AO206" s="91"/>
      <c r="AP206" s="91"/>
    </row>
    <row r="207">
      <c r="AK207" s="88"/>
      <c r="AL207" s="91"/>
      <c r="AM207" s="91"/>
      <c r="AN207" s="91"/>
      <c r="AO207" s="91"/>
      <c r="AP207" s="91"/>
    </row>
    <row r="208">
      <c r="AK208" s="88"/>
      <c r="AL208" s="91"/>
      <c r="AM208" s="91"/>
      <c r="AN208" s="91"/>
      <c r="AO208" s="91"/>
      <c r="AP208" s="91"/>
    </row>
    <row r="209">
      <c r="AK209" s="88"/>
      <c r="AL209" s="91"/>
      <c r="AM209" s="91"/>
      <c r="AN209" s="91"/>
      <c r="AO209" s="91"/>
      <c r="AP209" s="91"/>
    </row>
    <row r="210">
      <c r="AK210" s="88"/>
      <c r="AL210" s="91"/>
      <c r="AM210" s="91"/>
      <c r="AN210" s="91"/>
      <c r="AO210" s="91"/>
      <c r="AP210" s="91"/>
    </row>
    <row r="211">
      <c r="AK211" s="88"/>
      <c r="AL211" s="91"/>
      <c r="AM211" s="91"/>
      <c r="AN211" s="91"/>
      <c r="AO211" s="91"/>
      <c r="AP211" s="91"/>
    </row>
    <row r="212">
      <c r="AK212" s="88"/>
      <c r="AL212" s="91"/>
      <c r="AM212" s="91"/>
      <c r="AN212" s="91"/>
      <c r="AO212" s="91"/>
      <c r="AP212" s="91"/>
    </row>
    <row r="213">
      <c r="AK213" s="88"/>
      <c r="AL213" s="91"/>
      <c r="AM213" s="91"/>
      <c r="AN213" s="91"/>
      <c r="AO213" s="91"/>
      <c r="AP213" s="91"/>
    </row>
    <row r="214">
      <c r="AK214" s="88"/>
      <c r="AL214" s="91"/>
      <c r="AM214" s="91"/>
      <c r="AN214" s="91"/>
      <c r="AO214" s="91"/>
      <c r="AP214" s="91"/>
    </row>
    <row r="215">
      <c r="AK215" s="88"/>
      <c r="AL215" s="91"/>
      <c r="AM215" s="91"/>
      <c r="AN215" s="91"/>
      <c r="AO215" s="91"/>
      <c r="AP215" s="91"/>
    </row>
    <row r="216">
      <c r="AK216" s="88"/>
      <c r="AL216" s="91"/>
      <c r="AM216" s="91"/>
      <c r="AN216" s="91"/>
      <c r="AO216" s="91"/>
      <c r="AP216" s="91"/>
    </row>
    <row r="217">
      <c r="AK217" s="88"/>
      <c r="AL217" s="91"/>
      <c r="AM217" s="91"/>
      <c r="AN217" s="91"/>
      <c r="AO217" s="91"/>
      <c r="AP217" s="91"/>
    </row>
    <row r="218">
      <c r="AK218" s="88"/>
      <c r="AL218" s="91"/>
      <c r="AM218" s="91"/>
      <c r="AN218" s="91"/>
      <c r="AO218" s="91"/>
      <c r="AP218" s="91"/>
    </row>
    <row r="219">
      <c r="AK219" s="88"/>
      <c r="AL219" s="91"/>
      <c r="AM219" s="91"/>
      <c r="AN219" s="91"/>
      <c r="AO219" s="91"/>
      <c r="AP219" s="91"/>
    </row>
    <row r="220">
      <c r="AK220" s="88"/>
      <c r="AL220" s="91"/>
      <c r="AM220" s="91"/>
      <c r="AN220" s="91"/>
      <c r="AO220" s="91"/>
      <c r="AP220" s="91"/>
    </row>
    <row r="221">
      <c r="AK221" s="88"/>
      <c r="AL221" s="91"/>
      <c r="AM221" s="91"/>
      <c r="AN221" s="91"/>
      <c r="AO221" s="91"/>
      <c r="AP221" s="91"/>
    </row>
    <row r="222">
      <c r="AK222" s="88"/>
      <c r="AL222" s="91"/>
      <c r="AM222" s="91"/>
      <c r="AN222" s="91"/>
      <c r="AO222" s="91"/>
      <c r="AP222" s="91"/>
    </row>
    <row r="223">
      <c r="AK223" s="88"/>
      <c r="AL223" s="91"/>
      <c r="AM223" s="91"/>
      <c r="AN223" s="91"/>
      <c r="AO223" s="91"/>
      <c r="AP223" s="91"/>
    </row>
    <row r="224">
      <c r="AK224" s="88"/>
      <c r="AL224" s="91"/>
      <c r="AM224" s="91"/>
      <c r="AN224" s="91"/>
      <c r="AO224" s="91"/>
      <c r="AP224" s="91"/>
    </row>
    <row r="225">
      <c r="AK225" s="88"/>
      <c r="AL225" s="91"/>
      <c r="AM225" s="91"/>
      <c r="AN225" s="91"/>
      <c r="AO225" s="91"/>
      <c r="AP225" s="91"/>
    </row>
    <row r="226">
      <c r="AK226" s="88"/>
      <c r="AL226" s="91"/>
      <c r="AM226" s="91"/>
      <c r="AN226" s="91"/>
      <c r="AO226" s="91"/>
      <c r="AP226" s="91"/>
    </row>
    <row r="227">
      <c r="AK227" s="88"/>
      <c r="AL227" s="91"/>
      <c r="AM227" s="91"/>
      <c r="AN227" s="91"/>
      <c r="AO227" s="91"/>
      <c r="AP227" s="91"/>
    </row>
    <row r="228">
      <c r="AK228" s="88"/>
      <c r="AL228" s="91"/>
      <c r="AM228" s="91"/>
      <c r="AN228" s="91"/>
      <c r="AO228" s="91"/>
      <c r="AP228" s="91"/>
    </row>
    <row r="229">
      <c r="AK229" s="88"/>
      <c r="AL229" s="91"/>
      <c r="AM229" s="91"/>
      <c r="AN229" s="91"/>
      <c r="AO229" s="91"/>
      <c r="AP229" s="91"/>
    </row>
    <row r="230">
      <c r="AK230" s="88"/>
      <c r="AL230" s="91"/>
      <c r="AM230" s="91"/>
      <c r="AN230" s="91"/>
      <c r="AO230" s="91"/>
      <c r="AP230" s="91"/>
    </row>
    <row r="231">
      <c r="AK231" s="88"/>
      <c r="AL231" s="91"/>
      <c r="AM231" s="91"/>
      <c r="AN231" s="91"/>
      <c r="AO231" s="91"/>
      <c r="AP231" s="91"/>
    </row>
    <row r="232">
      <c r="AK232" s="88"/>
      <c r="AL232" s="91"/>
      <c r="AM232" s="91"/>
      <c r="AN232" s="91"/>
      <c r="AO232" s="91"/>
      <c r="AP232" s="91"/>
    </row>
    <row r="233">
      <c r="AK233" s="88"/>
      <c r="AL233" s="91"/>
      <c r="AM233" s="91"/>
      <c r="AN233" s="91"/>
      <c r="AO233" s="91"/>
      <c r="AP233" s="91"/>
    </row>
    <row r="234">
      <c r="AK234" s="88"/>
      <c r="AL234" s="91"/>
      <c r="AM234" s="91"/>
      <c r="AN234" s="91"/>
      <c r="AO234" s="91"/>
      <c r="AP234" s="91"/>
    </row>
    <row r="235">
      <c r="AK235" s="88"/>
      <c r="AL235" s="91"/>
      <c r="AM235" s="91"/>
      <c r="AN235" s="91"/>
      <c r="AO235" s="91"/>
      <c r="AP235" s="91"/>
    </row>
    <row r="236">
      <c r="AK236" s="88"/>
      <c r="AL236" s="91"/>
      <c r="AM236" s="91"/>
      <c r="AN236" s="91"/>
      <c r="AO236" s="91"/>
      <c r="AP236" s="91"/>
    </row>
    <row r="237">
      <c r="AK237" s="88"/>
      <c r="AL237" s="91"/>
      <c r="AM237" s="91"/>
      <c r="AN237" s="91"/>
      <c r="AO237" s="91"/>
      <c r="AP237" s="91"/>
    </row>
    <row r="238">
      <c r="AK238" s="88"/>
      <c r="AL238" s="91"/>
      <c r="AM238" s="91"/>
      <c r="AN238" s="91"/>
      <c r="AO238" s="91"/>
      <c r="AP238" s="91"/>
    </row>
    <row r="239">
      <c r="AK239" s="88"/>
      <c r="AL239" s="91"/>
      <c r="AM239" s="91"/>
      <c r="AN239" s="91"/>
      <c r="AO239" s="91"/>
      <c r="AP239" s="91"/>
    </row>
    <row r="240">
      <c r="AK240" s="88"/>
      <c r="AL240" s="91"/>
      <c r="AM240" s="91"/>
      <c r="AN240" s="91"/>
      <c r="AO240" s="91"/>
      <c r="AP240" s="91"/>
    </row>
    <row r="241">
      <c r="AK241" s="88"/>
      <c r="AL241" s="91"/>
      <c r="AM241" s="91"/>
      <c r="AN241" s="91"/>
      <c r="AO241" s="91"/>
      <c r="AP241" s="91"/>
    </row>
    <row r="242">
      <c r="AK242" s="88"/>
      <c r="AL242" s="91"/>
      <c r="AM242" s="91"/>
      <c r="AN242" s="91"/>
      <c r="AO242" s="91"/>
      <c r="AP242" s="91"/>
    </row>
    <row r="243">
      <c r="AK243" s="88"/>
      <c r="AL243" s="91"/>
      <c r="AM243" s="91"/>
      <c r="AN243" s="91"/>
      <c r="AO243" s="91"/>
      <c r="AP243" s="91"/>
    </row>
    <row r="244">
      <c r="AK244" s="88"/>
      <c r="AL244" s="91"/>
      <c r="AM244" s="91"/>
      <c r="AN244" s="91"/>
      <c r="AO244" s="91"/>
      <c r="AP244" s="91"/>
    </row>
    <row r="245">
      <c r="AK245" s="88"/>
      <c r="AL245" s="91"/>
      <c r="AM245" s="91"/>
      <c r="AN245" s="91"/>
      <c r="AO245" s="91"/>
      <c r="AP245" s="91"/>
    </row>
    <row r="246">
      <c r="AK246" s="88"/>
      <c r="AL246" s="91"/>
      <c r="AM246" s="91"/>
      <c r="AN246" s="91"/>
      <c r="AO246" s="91"/>
      <c r="AP246" s="91"/>
    </row>
    <row r="247">
      <c r="AK247" s="88"/>
      <c r="AL247" s="91"/>
      <c r="AM247" s="91"/>
      <c r="AN247" s="91"/>
      <c r="AO247" s="91"/>
      <c r="AP247" s="91"/>
    </row>
    <row r="248">
      <c r="AK248" s="88"/>
      <c r="AL248" s="91"/>
      <c r="AM248" s="91"/>
      <c r="AN248" s="91"/>
      <c r="AO248" s="91"/>
      <c r="AP248" s="91"/>
    </row>
    <row r="249">
      <c r="AK249" s="88"/>
      <c r="AL249" s="91"/>
      <c r="AM249" s="91"/>
      <c r="AN249" s="91"/>
      <c r="AO249" s="91"/>
      <c r="AP249" s="91"/>
    </row>
    <row r="250">
      <c r="AK250" s="88"/>
      <c r="AL250" s="91"/>
      <c r="AM250" s="91"/>
      <c r="AN250" s="91"/>
      <c r="AO250" s="91"/>
      <c r="AP250" s="91"/>
    </row>
    <row r="251">
      <c r="AK251" s="88"/>
      <c r="AL251" s="91"/>
      <c r="AM251" s="91"/>
      <c r="AN251" s="91"/>
      <c r="AO251" s="91"/>
      <c r="AP251" s="91"/>
    </row>
    <row r="252">
      <c r="AK252" s="88"/>
      <c r="AL252" s="91"/>
      <c r="AM252" s="91"/>
      <c r="AN252" s="91"/>
      <c r="AO252" s="91"/>
      <c r="AP252" s="91"/>
    </row>
    <row r="253">
      <c r="AK253" s="88"/>
      <c r="AL253" s="91"/>
      <c r="AM253" s="91"/>
      <c r="AN253" s="91"/>
      <c r="AO253" s="91"/>
      <c r="AP253" s="91"/>
    </row>
    <row r="254">
      <c r="AK254" s="88"/>
      <c r="AL254" s="91"/>
      <c r="AM254" s="91"/>
      <c r="AN254" s="91"/>
      <c r="AO254" s="91"/>
      <c r="AP254" s="91"/>
    </row>
    <row r="255">
      <c r="AK255" s="88"/>
      <c r="AL255" s="91"/>
      <c r="AM255" s="91"/>
      <c r="AN255" s="91"/>
      <c r="AO255" s="91"/>
      <c r="AP255" s="91"/>
    </row>
    <row r="256">
      <c r="AK256" s="88"/>
      <c r="AL256" s="91"/>
      <c r="AM256" s="91"/>
      <c r="AN256" s="91"/>
      <c r="AO256" s="91"/>
      <c r="AP256" s="91"/>
    </row>
    <row r="257">
      <c r="AK257" s="88"/>
      <c r="AL257" s="91"/>
      <c r="AM257" s="91"/>
      <c r="AN257" s="91"/>
      <c r="AO257" s="91"/>
      <c r="AP257" s="91"/>
    </row>
    <row r="258">
      <c r="AK258" s="88"/>
      <c r="AL258" s="91"/>
      <c r="AM258" s="91"/>
      <c r="AN258" s="91"/>
      <c r="AO258" s="91"/>
      <c r="AP258" s="91"/>
    </row>
    <row r="259">
      <c r="AK259" s="88"/>
      <c r="AL259" s="91"/>
      <c r="AM259" s="91"/>
      <c r="AN259" s="91"/>
      <c r="AO259" s="91"/>
      <c r="AP259" s="91"/>
    </row>
    <row r="260">
      <c r="AK260" s="88"/>
      <c r="AL260" s="91"/>
      <c r="AM260" s="91"/>
      <c r="AN260" s="91"/>
      <c r="AO260" s="91"/>
      <c r="AP260" s="91"/>
    </row>
    <row r="261">
      <c r="AK261" s="88"/>
      <c r="AL261" s="91"/>
      <c r="AM261" s="91"/>
      <c r="AN261" s="91"/>
      <c r="AO261" s="91"/>
      <c r="AP261" s="91"/>
    </row>
    <row r="262">
      <c r="AK262" s="88"/>
      <c r="AL262" s="91"/>
      <c r="AM262" s="91"/>
      <c r="AN262" s="91"/>
      <c r="AO262" s="91"/>
      <c r="AP262" s="91"/>
    </row>
    <row r="263">
      <c r="AK263" s="88"/>
      <c r="AL263" s="91"/>
      <c r="AM263" s="91"/>
      <c r="AN263" s="91"/>
      <c r="AO263" s="91"/>
      <c r="AP263" s="91"/>
    </row>
    <row r="264">
      <c r="AK264" s="88"/>
      <c r="AL264" s="91"/>
      <c r="AM264" s="91"/>
      <c r="AN264" s="91"/>
      <c r="AO264" s="91"/>
      <c r="AP264" s="91"/>
    </row>
    <row r="265">
      <c r="AK265" s="88"/>
      <c r="AL265" s="91"/>
      <c r="AM265" s="91"/>
      <c r="AN265" s="91"/>
      <c r="AO265" s="91"/>
      <c r="AP265" s="91"/>
    </row>
    <row r="266">
      <c r="AK266" s="88"/>
      <c r="AL266" s="91"/>
      <c r="AM266" s="91"/>
      <c r="AN266" s="91"/>
      <c r="AO266" s="91"/>
      <c r="AP266" s="91"/>
    </row>
    <row r="267">
      <c r="AK267" s="88"/>
      <c r="AL267" s="91"/>
      <c r="AM267" s="91"/>
      <c r="AN267" s="91"/>
      <c r="AO267" s="91"/>
      <c r="AP267" s="91"/>
    </row>
    <row r="268">
      <c r="AK268" s="88"/>
      <c r="AL268" s="91"/>
      <c r="AM268" s="91"/>
      <c r="AN268" s="91"/>
      <c r="AO268" s="91"/>
      <c r="AP268" s="91"/>
    </row>
    <row r="269">
      <c r="AK269" s="88"/>
      <c r="AL269" s="91"/>
      <c r="AM269" s="91"/>
      <c r="AN269" s="91"/>
      <c r="AO269" s="91"/>
      <c r="AP269" s="91"/>
    </row>
    <row r="270">
      <c r="AK270" s="88"/>
      <c r="AL270" s="91"/>
      <c r="AM270" s="91"/>
      <c r="AN270" s="91"/>
      <c r="AO270" s="91"/>
      <c r="AP270" s="91"/>
    </row>
    <row r="271">
      <c r="AK271" s="88"/>
      <c r="AL271" s="91"/>
      <c r="AM271" s="91"/>
      <c r="AN271" s="91"/>
      <c r="AO271" s="91"/>
      <c r="AP271" s="91"/>
    </row>
    <row r="272">
      <c r="AK272" s="88"/>
      <c r="AL272" s="91"/>
      <c r="AM272" s="91"/>
      <c r="AN272" s="91"/>
      <c r="AO272" s="91"/>
      <c r="AP272" s="91"/>
    </row>
    <row r="273">
      <c r="AK273" s="88"/>
      <c r="AL273" s="91"/>
      <c r="AM273" s="91"/>
      <c r="AN273" s="91"/>
      <c r="AO273" s="91"/>
      <c r="AP273" s="91"/>
    </row>
    <row r="274">
      <c r="AK274" s="88"/>
      <c r="AL274" s="91"/>
      <c r="AM274" s="91"/>
      <c r="AN274" s="91"/>
      <c r="AO274" s="91"/>
      <c r="AP274" s="91"/>
    </row>
    <row r="275">
      <c r="AK275" s="88"/>
      <c r="AL275" s="91"/>
      <c r="AM275" s="91"/>
      <c r="AN275" s="91"/>
      <c r="AO275" s="91"/>
      <c r="AP275" s="91"/>
    </row>
    <row r="276">
      <c r="AK276" s="88"/>
      <c r="AL276" s="91"/>
      <c r="AM276" s="91"/>
      <c r="AN276" s="91"/>
      <c r="AO276" s="91"/>
      <c r="AP276" s="91"/>
    </row>
    <row r="277">
      <c r="AK277" s="88"/>
      <c r="AL277" s="91"/>
      <c r="AM277" s="91"/>
      <c r="AN277" s="91"/>
      <c r="AO277" s="91"/>
      <c r="AP277" s="91"/>
    </row>
    <row r="278">
      <c r="AK278" s="88"/>
      <c r="AL278" s="91"/>
      <c r="AM278" s="91"/>
      <c r="AN278" s="91"/>
      <c r="AO278" s="91"/>
      <c r="AP278" s="91"/>
    </row>
    <row r="279">
      <c r="AK279" s="88"/>
      <c r="AL279" s="91"/>
      <c r="AM279" s="91"/>
      <c r="AN279" s="91"/>
      <c r="AO279" s="91"/>
      <c r="AP279" s="91"/>
    </row>
    <row r="280">
      <c r="AK280" s="88"/>
      <c r="AL280" s="91"/>
      <c r="AM280" s="91"/>
      <c r="AN280" s="91"/>
      <c r="AO280" s="91"/>
      <c r="AP280" s="91"/>
    </row>
    <row r="281">
      <c r="AK281" s="88"/>
      <c r="AL281" s="91"/>
      <c r="AM281" s="91"/>
      <c r="AN281" s="91"/>
      <c r="AO281" s="91"/>
      <c r="AP281" s="91"/>
    </row>
    <row r="282">
      <c r="AK282" s="88"/>
      <c r="AL282" s="91"/>
      <c r="AM282" s="91"/>
      <c r="AN282" s="91"/>
      <c r="AO282" s="91"/>
      <c r="AP282" s="91"/>
    </row>
    <row r="283">
      <c r="AK283" s="88"/>
      <c r="AL283" s="91"/>
      <c r="AM283" s="91"/>
      <c r="AN283" s="91"/>
      <c r="AO283" s="91"/>
      <c r="AP283" s="91"/>
    </row>
    <row r="284">
      <c r="AK284" s="88"/>
      <c r="AL284" s="91"/>
      <c r="AM284" s="91"/>
      <c r="AN284" s="91"/>
      <c r="AO284" s="91"/>
      <c r="AP284" s="91"/>
    </row>
    <row r="285">
      <c r="AK285" s="88"/>
      <c r="AL285" s="91"/>
      <c r="AM285" s="91"/>
      <c r="AN285" s="91"/>
      <c r="AO285" s="91"/>
      <c r="AP285" s="91"/>
    </row>
    <row r="286">
      <c r="AK286" s="88"/>
      <c r="AL286" s="91"/>
      <c r="AM286" s="91"/>
      <c r="AN286" s="91"/>
      <c r="AO286" s="91"/>
      <c r="AP286" s="91"/>
    </row>
    <row r="287">
      <c r="AK287" s="88"/>
      <c r="AL287" s="91"/>
      <c r="AM287" s="91"/>
      <c r="AN287" s="91"/>
      <c r="AO287" s="91"/>
      <c r="AP287" s="91"/>
    </row>
    <row r="288">
      <c r="AK288" s="88"/>
      <c r="AL288" s="91"/>
      <c r="AM288" s="91"/>
      <c r="AN288" s="91"/>
      <c r="AO288" s="91"/>
      <c r="AP288" s="91"/>
    </row>
    <row r="289">
      <c r="AK289" s="88"/>
      <c r="AL289" s="91"/>
      <c r="AM289" s="91"/>
      <c r="AN289" s="91"/>
      <c r="AO289" s="91"/>
      <c r="AP289" s="91"/>
    </row>
    <row r="290">
      <c r="AK290" s="88"/>
      <c r="AL290" s="91"/>
      <c r="AM290" s="91"/>
      <c r="AN290" s="91"/>
      <c r="AO290" s="91"/>
      <c r="AP290" s="91"/>
    </row>
    <row r="291">
      <c r="AK291" s="88"/>
      <c r="AL291" s="91"/>
      <c r="AM291" s="91"/>
      <c r="AN291" s="91"/>
      <c r="AO291" s="91"/>
      <c r="AP291" s="91"/>
    </row>
    <row r="292">
      <c r="AK292" s="88"/>
      <c r="AL292" s="91"/>
      <c r="AM292" s="91"/>
      <c r="AN292" s="91"/>
      <c r="AO292" s="91"/>
      <c r="AP292" s="91"/>
    </row>
    <row r="293">
      <c r="AK293" s="88"/>
      <c r="AL293" s="91"/>
      <c r="AM293" s="91"/>
      <c r="AN293" s="91"/>
      <c r="AO293" s="91"/>
      <c r="AP293" s="91"/>
    </row>
    <row r="294">
      <c r="AK294" s="88"/>
      <c r="AL294" s="91"/>
      <c r="AM294" s="91"/>
      <c r="AN294" s="91"/>
      <c r="AO294" s="91"/>
      <c r="AP294" s="91"/>
    </row>
    <row r="295">
      <c r="AK295" s="88"/>
      <c r="AL295" s="91"/>
      <c r="AM295" s="91"/>
      <c r="AN295" s="91"/>
      <c r="AO295" s="91"/>
      <c r="AP295" s="91"/>
    </row>
    <row r="296">
      <c r="AK296" s="88"/>
      <c r="AL296" s="91"/>
      <c r="AM296" s="91"/>
      <c r="AN296" s="91"/>
      <c r="AO296" s="91"/>
      <c r="AP296" s="91"/>
    </row>
    <row r="297">
      <c r="AK297" s="88"/>
      <c r="AL297" s="91"/>
      <c r="AM297" s="91"/>
      <c r="AN297" s="91"/>
      <c r="AO297" s="91"/>
      <c r="AP297" s="91"/>
    </row>
    <row r="298">
      <c r="AK298" s="88"/>
      <c r="AL298" s="91"/>
      <c r="AM298" s="91"/>
      <c r="AN298" s="91"/>
      <c r="AO298" s="91"/>
      <c r="AP298" s="91"/>
    </row>
    <row r="299">
      <c r="AK299" s="88"/>
      <c r="AL299" s="91"/>
      <c r="AM299" s="91"/>
      <c r="AN299" s="91"/>
      <c r="AO299" s="91"/>
      <c r="AP299" s="91"/>
    </row>
    <row r="300">
      <c r="AK300" s="88"/>
      <c r="AL300" s="91"/>
      <c r="AM300" s="91"/>
      <c r="AN300" s="91"/>
      <c r="AO300" s="91"/>
      <c r="AP300" s="91"/>
    </row>
    <row r="301">
      <c r="AK301" s="88"/>
      <c r="AL301" s="91"/>
      <c r="AM301" s="91"/>
      <c r="AN301" s="91"/>
      <c r="AO301" s="91"/>
      <c r="AP301" s="91"/>
    </row>
    <row r="302">
      <c r="AK302" s="88"/>
      <c r="AL302" s="91"/>
      <c r="AM302" s="91"/>
      <c r="AN302" s="91"/>
      <c r="AO302" s="91"/>
      <c r="AP302" s="91"/>
    </row>
    <row r="303">
      <c r="AK303" s="88"/>
      <c r="AL303" s="91"/>
      <c r="AM303" s="91"/>
      <c r="AN303" s="91"/>
      <c r="AO303" s="91"/>
      <c r="AP303" s="91"/>
    </row>
    <row r="304">
      <c r="AK304" s="88"/>
      <c r="AL304" s="91"/>
      <c r="AM304" s="91"/>
      <c r="AN304" s="91"/>
      <c r="AO304" s="91"/>
      <c r="AP304" s="91"/>
    </row>
    <row r="305">
      <c r="AK305" s="88"/>
      <c r="AL305" s="91"/>
      <c r="AM305" s="91"/>
      <c r="AN305" s="91"/>
      <c r="AO305" s="91"/>
      <c r="AP305" s="91"/>
    </row>
    <row r="306">
      <c r="AK306" s="88"/>
      <c r="AL306" s="91"/>
      <c r="AM306" s="91"/>
      <c r="AN306" s="91"/>
      <c r="AO306" s="91"/>
      <c r="AP306" s="91"/>
    </row>
    <row r="307">
      <c r="AK307" s="88"/>
      <c r="AL307" s="91"/>
      <c r="AM307" s="91"/>
      <c r="AN307" s="91"/>
      <c r="AO307" s="91"/>
      <c r="AP307" s="91"/>
    </row>
    <row r="308">
      <c r="AK308" s="88"/>
      <c r="AL308" s="91"/>
      <c r="AM308" s="91"/>
      <c r="AN308" s="91"/>
      <c r="AO308" s="91"/>
      <c r="AP308" s="91"/>
    </row>
    <row r="309">
      <c r="AK309" s="88"/>
      <c r="AL309" s="91"/>
      <c r="AM309" s="91"/>
      <c r="AN309" s="91"/>
      <c r="AO309" s="91"/>
      <c r="AP309" s="91"/>
    </row>
    <row r="310">
      <c r="AK310" s="88"/>
      <c r="AL310" s="91"/>
      <c r="AM310" s="91"/>
      <c r="AN310" s="91"/>
      <c r="AO310" s="91"/>
      <c r="AP310" s="91"/>
    </row>
    <row r="311">
      <c r="AK311" s="88"/>
      <c r="AL311" s="91"/>
      <c r="AM311" s="91"/>
      <c r="AN311" s="91"/>
      <c r="AO311" s="91"/>
      <c r="AP311" s="91"/>
    </row>
    <row r="312">
      <c r="AK312" s="88"/>
      <c r="AL312" s="91"/>
      <c r="AM312" s="91"/>
      <c r="AN312" s="91"/>
      <c r="AO312" s="91"/>
      <c r="AP312" s="91"/>
    </row>
    <row r="313">
      <c r="AK313" s="88"/>
      <c r="AL313" s="91"/>
      <c r="AM313" s="91"/>
      <c r="AN313" s="91"/>
      <c r="AO313" s="91"/>
      <c r="AP313" s="91"/>
    </row>
    <row r="314">
      <c r="AK314" s="88"/>
      <c r="AL314" s="91"/>
      <c r="AM314" s="91"/>
      <c r="AN314" s="91"/>
      <c r="AO314" s="91"/>
      <c r="AP314" s="91"/>
    </row>
    <row r="315">
      <c r="AK315" s="88"/>
      <c r="AL315" s="91"/>
      <c r="AM315" s="91"/>
      <c r="AN315" s="91"/>
      <c r="AO315" s="91"/>
      <c r="AP315" s="91"/>
    </row>
    <row r="316">
      <c r="AK316" s="88"/>
      <c r="AL316" s="91"/>
      <c r="AM316" s="91"/>
      <c r="AN316" s="91"/>
      <c r="AO316" s="91"/>
      <c r="AP316" s="91"/>
    </row>
    <row r="317">
      <c r="AK317" s="88"/>
      <c r="AL317" s="91"/>
      <c r="AM317" s="91"/>
      <c r="AN317" s="91"/>
      <c r="AO317" s="91"/>
      <c r="AP317" s="91"/>
    </row>
    <row r="318">
      <c r="AK318" s="88"/>
      <c r="AL318" s="91"/>
      <c r="AM318" s="91"/>
      <c r="AN318" s="91"/>
      <c r="AO318" s="91"/>
      <c r="AP318" s="91"/>
    </row>
    <row r="319">
      <c r="AK319" s="88"/>
      <c r="AL319" s="91"/>
      <c r="AM319" s="91"/>
      <c r="AN319" s="91"/>
      <c r="AO319" s="91"/>
      <c r="AP319" s="91"/>
    </row>
    <row r="320">
      <c r="AK320" s="88"/>
      <c r="AL320" s="91"/>
      <c r="AM320" s="91"/>
      <c r="AN320" s="91"/>
      <c r="AO320" s="91"/>
      <c r="AP320" s="91"/>
    </row>
    <row r="321">
      <c r="AK321" s="88"/>
      <c r="AL321" s="91"/>
      <c r="AM321" s="91"/>
      <c r="AN321" s="91"/>
      <c r="AO321" s="91"/>
      <c r="AP321" s="91"/>
    </row>
    <row r="322">
      <c r="AK322" s="88"/>
      <c r="AL322" s="91"/>
      <c r="AM322" s="91"/>
      <c r="AN322" s="91"/>
      <c r="AO322" s="91"/>
      <c r="AP322" s="91"/>
    </row>
    <row r="323">
      <c r="AK323" s="88"/>
      <c r="AL323" s="91"/>
      <c r="AM323" s="91"/>
      <c r="AN323" s="91"/>
      <c r="AO323" s="91"/>
      <c r="AP323" s="91"/>
    </row>
    <row r="324">
      <c r="AK324" s="88"/>
      <c r="AL324" s="91"/>
      <c r="AM324" s="91"/>
      <c r="AN324" s="91"/>
      <c r="AO324" s="91"/>
      <c r="AP324" s="91"/>
    </row>
    <row r="325">
      <c r="AK325" s="88"/>
      <c r="AL325" s="91"/>
      <c r="AM325" s="91"/>
      <c r="AN325" s="91"/>
      <c r="AO325" s="91"/>
      <c r="AP325" s="91"/>
    </row>
    <row r="326">
      <c r="AK326" s="88"/>
      <c r="AL326" s="91"/>
      <c r="AM326" s="91"/>
      <c r="AN326" s="91"/>
      <c r="AO326" s="91"/>
      <c r="AP326" s="91"/>
    </row>
    <row r="327">
      <c r="AK327" s="88"/>
      <c r="AL327" s="91"/>
      <c r="AM327" s="91"/>
      <c r="AN327" s="91"/>
      <c r="AO327" s="91"/>
      <c r="AP327" s="91"/>
    </row>
    <row r="328">
      <c r="AK328" s="88"/>
      <c r="AL328" s="91"/>
      <c r="AM328" s="91"/>
      <c r="AN328" s="91"/>
      <c r="AO328" s="91"/>
      <c r="AP328" s="91"/>
    </row>
    <row r="329">
      <c r="AK329" s="88"/>
      <c r="AL329" s="91"/>
      <c r="AM329" s="91"/>
      <c r="AN329" s="91"/>
      <c r="AO329" s="91"/>
      <c r="AP329" s="91"/>
    </row>
    <row r="330">
      <c r="AK330" s="88"/>
      <c r="AL330" s="91"/>
      <c r="AM330" s="91"/>
      <c r="AN330" s="91"/>
      <c r="AO330" s="91"/>
      <c r="AP330" s="91"/>
    </row>
    <row r="331">
      <c r="AK331" s="88"/>
      <c r="AL331" s="91"/>
      <c r="AM331" s="91"/>
      <c r="AN331" s="91"/>
      <c r="AO331" s="91"/>
      <c r="AP331" s="91"/>
    </row>
    <row r="332">
      <c r="AK332" s="88"/>
      <c r="AL332" s="91"/>
      <c r="AM332" s="91"/>
      <c r="AN332" s="91"/>
      <c r="AO332" s="91"/>
      <c r="AP332" s="91"/>
    </row>
    <row r="333">
      <c r="AK333" s="88"/>
      <c r="AL333" s="91"/>
      <c r="AM333" s="91"/>
      <c r="AN333" s="91"/>
      <c r="AO333" s="91"/>
      <c r="AP333" s="91"/>
    </row>
    <row r="334">
      <c r="AK334" s="88"/>
      <c r="AL334" s="91"/>
      <c r="AM334" s="91"/>
      <c r="AN334" s="91"/>
      <c r="AO334" s="91"/>
      <c r="AP334" s="91"/>
    </row>
    <row r="335">
      <c r="AK335" s="88"/>
      <c r="AL335" s="91"/>
      <c r="AM335" s="91"/>
      <c r="AN335" s="91"/>
      <c r="AO335" s="91"/>
      <c r="AP335" s="91"/>
    </row>
    <row r="336">
      <c r="AK336" s="88"/>
      <c r="AL336" s="91"/>
      <c r="AM336" s="91"/>
      <c r="AN336" s="91"/>
      <c r="AO336" s="91"/>
      <c r="AP336" s="91"/>
    </row>
    <row r="337">
      <c r="AK337" s="88"/>
      <c r="AL337" s="91"/>
      <c r="AM337" s="91"/>
      <c r="AN337" s="91"/>
      <c r="AO337" s="91"/>
      <c r="AP337" s="91"/>
    </row>
    <row r="338">
      <c r="AK338" s="88"/>
      <c r="AL338" s="91"/>
      <c r="AM338" s="91"/>
      <c r="AN338" s="91"/>
      <c r="AO338" s="91"/>
      <c r="AP338" s="91"/>
    </row>
    <row r="339">
      <c r="AK339" s="88"/>
      <c r="AL339" s="91"/>
      <c r="AM339" s="91"/>
      <c r="AN339" s="91"/>
      <c r="AO339" s="91"/>
      <c r="AP339" s="91"/>
    </row>
    <row r="340">
      <c r="AK340" s="88"/>
      <c r="AL340" s="91"/>
      <c r="AM340" s="91"/>
      <c r="AN340" s="91"/>
      <c r="AO340" s="91"/>
      <c r="AP340" s="91"/>
    </row>
    <row r="341">
      <c r="AK341" s="88"/>
      <c r="AL341" s="91"/>
      <c r="AM341" s="91"/>
      <c r="AN341" s="91"/>
      <c r="AO341" s="91"/>
      <c r="AP341" s="91"/>
    </row>
    <row r="342">
      <c r="AK342" s="88"/>
      <c r="AL342" s="91"/>
      <c r="AM342" s="91"/>
      <c r="AN342" s="91"/>
      <c r="AO342" s="91"/>
      <c r="AP342" s="91"/>
    </row>
    <row r="343">
      <c r="AK343" s="88"/>
      <c r="AL343" s="91"/>
      <c r="AM343" s="91"/>
      <c r="AN343" s="91"/>
      <c r="AO343" s="91"/>
      <c r="AP343" s="91"/>
    </row>
    <row r="344">
      <c r="AK344" s="88"/>
      <c r="AL344" s="91"/>
      <c r="AM344" s="91"/>
      <c r="AN344" s="91"/>
      <c r="AO344" s="91"/>
      <c r="AP344" s="91"/>
    </row>
    <row r="345">
      <c r="AK345" s="88"/>
      <c r="AL345" s="91"/>
      <c r="AM345" s="91"/>
      <c r="AN345" s="91"/>
      <c r="AO345" s="91"/>
      <c r="AP345" s="91"/>
    </row>
    <row r="346">
      <c r="AK346" s="88"/>
      <c r="AL346" s="91"/>
      <c r="AM346" s="91"/>
      <c r="AN346" s="91"/>
      <c r="AO346" s="91"/>
      <c r="AP346" s="91"/>
    </row>
    <row r="347">
      <c r="AK347" s="88"/>
      <c r="AL347" s="91"/>
      <c r="AM347" s="91"/>
      <c r="AN347" s="91"/>
      <c r="AO347" s="91"/>
      <c r="AP347" s="91"/>
    </row>
    <row r="348">
      <c r="AK348" s="88"/>
      <c r="AL348" s="91"/>
      <c r="AM348" s="91"/>
      <c r="AN348" s="91"/>
      <c r="AO348" s="91"/>
      <c r="AP348" s="91"/>
    </row>
    <row r="349">
      <c r="AK349" s="88"/>
      <c r="AL349" s="91"/>
      <c r="AM349" s="91"/>
      <c r="AN349" s="91"/>
      <c r="AO349" s="91"/>
      <c r="AP349" s="91"/>
    </row>
    <row r="350">
      <c r="AK350" s="88"/>
      <c r="AL350" s="91"/>
      <c r="AM350" s="91"/>
      <c r="AN350" s="91"/>
      <c r="AO350" s="91"/>
      <c r="AP350" s="91"/>
    </row>
    <row r="351">
      <c r="AK351" s="88"/>
      <c r="AL351" s="91"/>
      <c r="AM351" s="91"/>
      <c r="AN351" s="91"/>
      <c r="AO351" s="91"/>
      <c r="AP351" s="91"/>
    </row>
    <row r="352">
      <c r="AK352" s="88"/>
      <c r="AL352" s="91"/>
      <c r="AM352" s="91"/>
      <c r="AN352" s="91"/>
      <c r="AO352" s="91"/>
      <c r="AP352" s="91"/>
    </row>
    <row r="353">
      <c r="AK353" s="88"/>
      <c r="AL353" s="91"/>
      <c r="AM353" s="91"/>
      <c r="AN353" s="91"/>
      <c r="AO353" s="91"/>
      <c r="AP353" s="91"/>
    </row>
    <row r="354">
      <c r="AK354" s="88"/>
      <c r="AL354" s="91"/>
      <c r="AM354" s="91"/>
      <c r="AN354" s="91"/>
      <c r="AO354" s="91"/>
      <c r="AP354" s="91"/>
    </row>
    <row r="355">
      <c r="AK355" s="88"/>
      <c r="AL355" s="91"/>
      <c r="AM355" s="91"/>
      <c r="AN355" s="91"/>
      <c r="AO355" s="91"/>
      <c r="AP355" s="91"/>
    </row>
    <row r="356">
      <c r="AK356" s="88"/>
      <c r="AL356" s="91"/>
      <c r="AM356" s="91"/>
      <c r="AN356" s="91"/>
      <c r="AO356" s="91"/>
      <c r="AP356" s="91"/>
    </row>
    <row r="357">
      <c r="AK357" s="88"/>
      <c r="AL357" s="91"/>
      <c r="AM357" s="91"/>
      <c r="AN357" s="91"/>
      <c r="AO357" s="91"/>
      <c r="AP357" s="91"/>
    </row>
    <row r="358">
      <c r="AK358" s="88"/>
      <c r="AL358" s="91"/>
      <c r="AM358" s="91"/>
      <c r="AN358" s="91"/>
      <c r="AO358" s="91"/>
      <c r="AP358" s="91"/>
    </row>
    <row r="359">
      <c r="AK359" s="88"/>
      <c r="AL359" s="91"/>
      <c r="AM359" s="91"/>
      <c r="AN359" s="91"/>
      <c r="AO359" s="91"/>
      <c r="AP359" s="91"/>
    </row>
    <row r="360">
      <c r="AK360" s="88"/>
      <c r="AL360" s="91"/>
      <c r="AM360" s="91"/>
      <c r="AN360" s="91"/>
      <c r="AO360" s="91"/>
      <c r="AP360" s="91"/>
    </row>
    <row r="361">
      <c r="AK361" s="88"/>
      <c r="AL361" s="91"/>
      <c r="AM361" s="91"/>
      <c r="AN361" s="91"/>
      <c r="AO361" s="91"/>
      <c r="AP361" s="91"/>
    </row>
    <row r="362">
      <c r="AK362" s="88"/>
      <c r="AL362" s="91"/>
      <c r="AM362" s="91"/>
      <c r="AN362" s="91"/>
      <c r="AO362" s="91"/>
      <c r="AP362" s="91"/>
    </row>
    <row r="363">
      <c r="AK363" s="88"/>
      <c r="AL363" s="91"/>
      <c r="AM363" s="91"/>
      <c r="AN363" s="91"/>
      <c r="AO363" s="91"/>
      <c r="AP363" s="91"/>
    </row>
    <row r="364">
      <c r="AK364" s="88"/>
      <c r="AL364" s="91"/>
      <c r="AM364" s="91"/>
      <c r="AN364" s="91"/>
      <c r="AO364" s="91"/>
      <c r="AP364" s="91"/>
    </row>
    <row r="365">
      <c r="AK365" s="88"/>
      <c r="AL365" s="91"/>
      <c r="AM365" s="91"/>
      <c r="AN365" s="91"/>
      <c r="AO365" s="91"/>
      <c r="AP365" s="91"/>
    </row>
    <row r="366">
      <c r="AK366" s="88"/>
      <c r="AL366" s="91"/>
      <c r="AM366" s="91"/>
      <c r="AN366" s="91"/>
      <c r="AO366" s="91"/>
      <c r="AP366" s="91"/>
    </row>
    <row r="367">
      <c r="AK367" s="88"/>
      <c r="AL367" s="91"/>
      <c r="AM367" s="91"/>
      <c r="AN367" s="91"/>
      <c r="AO367" s="91"/>
      <c r="AP367" s="91"/>
    </row>
    <row r="368">
      <c r="AK368" s="88"/>
      <c r="AL368" s="91"/>
      <c r="AM368" s="91"/>
      <c r="AN368" s="91"/>
      <c r="AO368" s="91"/>
      <c r="AP368" s="91"/>
    </row>
    <row r="369">
      <c r="AK369" s="88"/>
      <c r="AL369" s="91"/>
      <c r="AM369" s="91"/>
      <c r="AN369" s="91"/>
      <c r="AO369" s="91"/>
      <c r="AP369" s="91"/>
    </row>
    <row r="370">
      <c r="AK370" s="88"/>
      <c r="AL370" s="91"/>
      <c r="AM370" s="91"/>
      <c r="AN370" s="91"/>
      <c r="AO370" s="91"/>
      <c r="AP370" s="91"/>
    </row>
    <row r="371">
      <c r="AK371" s="88"/>
      <c r="AL371" s="91"/>
      <c r="AM371" s="91"/>
      <c r="AN371" s="91"/>
      <c r="AO371" s="91"/>
      <c r="AP371" s="91"/>
    </row>
    <row r="372">
      <c r="AK372" s="88"/>
      <c r="AL372" s="91"/>
      <c r="AM372" s="91"/>
      <c r="AN372" s="91"/>
      <c r="AO372" s="91"/>
      <c r="AP372" s="91"/>
    </row>
    <row r="373">
      <c r="AK373" s="88"/>
      <c r="AL373" s="91"/>
      <c r="AM373" s="91"/>
      <c r="AN373" s="91"/>
      <c r="AO373" s="91"/>
      <c r="AP373" s="91"/>
    </row>
    <row r="374">
      <c r="AK374" s="88"/>
      <c r="AL374" s="91"/>
      <c r="AM374" s="91"/>
      <c r="AN374" s="91"/>
      <c r="AO374" s="91"/>
      <c r="AP374" s="91"/>
    </row>
    <row r="375">
      <c r="AK375" s="88"/>
      <c r="AL375" s="91"/>
      <c r="AM375" s="91"/>
      <c r="AN375" s="91"/>
      <c r="AO375" s="91"/>
      <c r="AP375" s="91"/>
    </row>
    <row r="376">
      <c r="AK376" s="88"/>
      <c r="AL376" s="91"/>
      <c r="AM376" s="91"/>
      <c r="AN376" s="91"/>
      <c r="AO376" s="91"/>
      <c r="AP376" s="91"/>
    </row>
    <row r="377">
      <c r="AK377" s="88"/>
      <c r="AL377" s="91"/>
      <c r="AM377" s="91"/>
      <c r="AN377" s="91"/>
      <c r="AO377" s="91"/>
      <c r="AP377" s="91"/>
    </row>
    <row r="378">
      <c r="AK378" s="88"/>
      <c r="AL378" s="91"/>
      <c r="AM378" s="91"/>
      <c r="AN378" s="91"/>
      <c r="AO378" s="91"/>
      <c r="AP378" s="91"/>
    </row>
    <row r="379">
      <c r="AK379" s="88"/>
      <c r="AL379" s="91"/>
      <c r="AM379" s="91"/>
      <c r="AN379" s="91"/>
      <c r="AO379" s="91"/>
      <c r="AP379" s="91"/>
    </row>
    <row r="380">
      <c r="AK380" s="88"/>
      <c r="AL380" s="91"/>
      <c r="AM380" s="91"/>
      <c r="AN380" s="91"/>
      <c r="AO380" s="91"/>
      <c r="AP380" s="91"/>
    </row>
    <row r="381">
      <c r="AK381" s="88"/>
      <c r="AL381" s="91"/>
      <c r="AM381" s="91"/>
      <c r="AN381" s="91"/>
      <c r="AO381" s="91"/>
      <c r="AP381" s="91"/>
    </row>
    <row r="382">
      <c r="AK382" s="88"/>
      <c r="AL382" s="91"/>
      <c r="AM382" s="91"/>
      <c r="AN382" s="91"/>
      <c r="AO382" s="91"/>
      <c r="AP382" s="91"/>
    </row>
    <row r="383">
      <c r="AK383" s="88"/>
      <c r="AL383" s="91"/>
      <c r="AM383" s="91"/>
      <c r="AN383" s="91"/>
      <c r="AO383" s="91"/>
      <c r="AP383" s="91"/>
    </row>
    <row r="384">
      <c r="AK384" s="88"/>
      <c r="AL384" s="91"/>
      <c r="AM384" s="91"/>
      <c r="AN384" s="91"/>
      <c r="AO384" s="91"/>
      <c r="AP384" s="91"/>
    </row>
    <row r="385">
      <c r="AK385" s="88"/>
      <c r="AL385" s="91"/>
      <c r="AM385" s="91"/>
      <c r="AN385" s="91"/>
      <c r="AO385" s="91"/>
      <c r="AP385" s="91"/>
    </row>
    <row r="386">
      <c r="AK386" s="88"/>
      <c r="AL386" s="91"/>
      <c r="AM386" s="91"/>
      <c r="AN386" s="91"/>
      <c r="AO386" s="91"/>
      <c r="AP386" s="91"/>
    </row>
    <row r="387">
      <c r="AK387" s="88"/>
      <c r="AL387" s="91"/>
      <c r="AM387" s="91"/>
      <c r="AN387" s="91"/>
      <c r="AO387" s="91"/>
      <c r="AP387" s="91"/>
    </row>
    <row r="388">
      <c r="AK388" s="88"/>
      <c r="AL388" s="91"/>
      <c r="AM388" s="91"/>
      <c r="AN388" s="91"/>
      <c r="AO388" s="91"/>
      <c r="AP388" s="91"/>
    </row>
    <row r="389">
      <c r="AK389" s="88"/>
      <c r="AL389" s="91"/>
      <c r="AM389" s="91"/>
      <c r="AN389" s="91"/>
      <c r="AO389" s="91"/>
      <c r="AP389" s="91"/>
    </row>
    <row r="390">
      <c r="AK390" s="88"/>
      <c r="AL390" s="91"/>
      <c r="AM390" s="91"/>
      <c r="AN390" s="91"/>
      <c r="AO390" s="91"/>
      <c r="AP390" s="91"/>
    </row>
    <row r="391">
      <c r="AK391" s="88"/>
      <c r="AL391" s="91"/>
      <c r="AM391" s="91"/>
      <c r="AN391" s="91"/>
      <c r="AO391" s="91"/>
      <c r="AP391" s="91"/>
    </row>
    <row r="392">
      <c r="AK392" s="88"/>
      <c r="AL392" s="91"/>
      <c r="AM392" s="91"/>
      <c r="AN392" s="91"/>
      <c r="AO392" s="91"/>
      <c r="AP392" s="91"/>
    </row>
    <row r="393">
      <c r="AK393" s="88"/>
      <c r="AL393" s="91"/>
      <c r="AM393" s="91"/>
      <c r="AN393" s="91"/>
      <c r="AO393" s="91"/>
      <c r="AP393" s="91"/>
    </row>
    <row r="394">
      <c r="AK394" s="88"/>
      <c r="AL394" s="91"/>
      <c r="AM394" s="91"/>
      <c r="AN394" s="91"/>
      <c r="AO394" s="91"/>
      <c r="AP394" s="91"/>
    </row>
    <row r="395">
      <c r="AK395" s="88"/>
      <c r="AL395" s="91"/>
      <c r="AM395" s="91"/>
      <c r="AN395" s="91"/>
      <c r="AO395" s="91"/>
      <c r="AP395" s="91"/>
    </row>
    <row r="396">
      <c r="AK396" s="88"/>
      <c r="AL396" s="91"/>
      <c r="AM396" s="91"/>
      <c r="AN396" s="91"/>
      <c r="AO396" s="91"/>
      <c r="AP396" s="91"/>
    </row>
    <row r="397">
      <c r="AK397" s="88"/>
      <c r="AL397" s="91"/>
      <c r="AM397" s="91"/>
      <c r="AN397" s="91"/>
      <c r="AO397" s="91"/>
      <c r="AP397" s="91"/>
    </row>
    <row r="398">
      <c r="AK398" s="88"/>
      <c r="AL398" s="91"/>
      <c r="AM398" s="91"/>
      <c r="AN398" s="91"/>
      <c r="AO398" s="91"/>
      <c r="AP398" s="91"/>
    </row>
    <row r="399">
      <c r="AK399" s="88"/>
      <c r="AL399" s="91"/>
      <c r="AM399" s="91"/>
      <c r="AN399" s="91"/>
      <c r="AO399" s="91"/>
      <c r="AP399" s="91"/>
    </row>
    <row r="400">
      <c r="AK400" s="88"/>
      <c r="AL400" s="91"/>
      <c r="AM400" s="91"/>
      <c r="AN400" s="91"/>
      <c r="AO400" s="91"/>
      <c r="AP400" s="91"/>
    </row>
    <row r="401">
      <c r="AK401" s="88"/>
      <c r="AL401" s="91"/>
      <c r="AM401" s="91"/>
      <c r="AN401" s="91"/>
      <c r="AO401" s="91"/>
      <c r="AP401" s="91"/>
    </row>
    <row r="402">
      <c r="AK402" s="88"/>
      <c r="AL402" s="91"/>
      <c r="AM402" s="91"/>
      <c r="AN402" s="91"/>
      <c r="AO402" s="91"/>
      <c r="AP402" s="91"/>
    </row>
    <row r="403">
      <c r="AK403" s="88"/>
      <c r="AL403" s="91"/>
      <c r="AM403" s="91"/>
      <c r="AN403" s="91"/>
      <c r="AO403" s="91"/>
      <c r="AP403" s="91"/>
    </row>
    <row r="404">
      <c r="AK404" s="88"/>
      <c r="AL404" s="91"/>
      <c r="AM404" s="91"/>
      <c r="AN404" s="91"/>
      <c r="AO404" s="91"/>
      <c r="AP404" s="91"/>
    </row>
    <row r="405">
      <c r="AK405" s="88"/>
      <c r="AL405" s="91"/>
      <c r="AM405" s="91"/>
      <c r="AN405" s="91"/>
      <c r="AO405" s="91"/>
      <c r="AP405" s="91"/>
    </row>
    <row r="406">
      <c r="AK406" s="88"/>
      <c r="AL406" s="91"/>
      <c r="AM406" s="91"/>
      <c r="AN406" s="91"/>
      <c r="AO406" s="91"/>
      <c r="AP406" s="91"/>
    </row>
    <row r="407">
      <c r="AK407" s="88"/>
      <c r="AL407" s="91"/>
      <c r="AM407" s="91"/>
      <c r="AN407" s="91"/>
      <c r="AO407" s="91"/>
      <c r="AP407" s="91"/>
    </row>
    <row r="408">
      <c r="AK408" s="88"/>
      <c r="AL408" s="91"/>
      <c r="AM408" s="91"/>
      <c r="AN408" s="91"/>
      <c r="AO408" s="91"/>
      <c r="AP408" s="91"/>
    </row>
    <row r="409">
      <c r="AK409" s="88"/>
      <c r="AL409" s="91"/>
      <c r="AM409" s="91"/>
      <c r="AN409" s="91"/>
      <c r="AO409" s="91"/>
      <c r="AP409" s="91"/>
    </row>
    <row r="410">
      <c r="AK410" s="88"/>
      <c r="AL410" s="91"/>
      <c r="AM410" s="91"/>
      <c r="AN410" s="91"/>
      <c r="AO410" s="91"/>
      <c r="AP410" s="91"/>
    </row>
    <row r="411">
      <c r="AK411" s="88"/>
      <c r="AL411" s="91"/>
      <c r="AM411" s="91"/>
      <c r="AN411" s="91"/>
      <c r="AO411" s="91"/>
      <c r="AP411" s="91"/>
    </row>
    <row r="412">
      <c r="AK412" s="88"/>
      <c r="AL412" s="91"/>
      <c r="AM412" s="91"/>
      <c r="AN412" s="91"/>
      <c r="AO412" s="91"/>
      <c r="AP412" s="91"/>
    </row>
    <row r="413">
      <c r="AK413" s="88"/>
      <c r="AL413" s="91"/>
      <c r="AM413" s="91"/>
      <c r="AN413" s="91"/>
      <c r="AO413" s="91"/>
      <c r="AP413" s="91"/>
    </row>
    <row r="414">
      <c r="AK414" s="88"/>
      <c r="AL414" s="91"/>
      <c r="AM414" s="91"/>
      <c r="AN414" s="91"/>
      <c r="AO414" s="91"/>
      <c r="AP414" s="91"/>
    </row>
    <row r="415">
      <c r="AK415" s="88"/>
      <c r="AL415" s="91"/>
      <c r="AM415" s="91"/>
      <c r="AN415" s="91"/>
      <c r="AO415" s="91"/>
      <c r="AP415" s="91"/>
    </row>
    <row r="416">
      <c r="AK416" s="88"/>
      <c r="AL416" s="91"/>
      <c r="AM416" s="91"/>
      <c r="AN416" s="91"/>
      <c r="AO416" s="91"/>
      <c r="AP416" s="91"/>
    </row>
    <row r="417">
      <c r="AK417" s="88"/>
      <c r="AL417" s="91"/>
      <c r="AM417" s="91"/>
      <c r="AN417" s="91"/>
      <c r="AO417" s="91"/>
      <c r="AP417" s="91"/>
    </row>
    <row r="418">
      <c r="AK418" s="88"/>
      <c r="AL418" s="91"/>
      <c r="AM418" s="91"/>
      <c r="AN418" s="91"/>
      <c r="AO418" s="91"/>
      <c r="AP418" s="91"/>
    </row>
    <row r="419">
      <c r="AK419" s="88"/>
      <c r="AL419" s="91"/>
      <c r="AM419" s="91"/>
      <c r="AN419" s="91"/>
      <c r="AO419" s="91"/>
      <c r="AP419" s="91"/>
    </row>
    <row r="420">
      <c r="AK420" s="88"/>
      <c r="AL420" s="91"/>
      <c r="AM420" s="91"/>
      <c r="AN420" s="91"/>
      <c r="AO420" s="91"/>
      <c r="AP420" s="91"/>
    </row>
    <row r="421">
      <c r="AK421" s="88"/>
      <c r="AL421" s="91"/>
      <c r="AM421" s="91"/>
      <c r="AN421" s="91"/>
      <c r="AO421" s="91"/>
      <c r="AP421" s="91"/>
    </row>
    <row r="422">
      <c r="AK422" s="88"/>
      <c r="AL422" s="91"/>
      <c r="AM422" s="91"/>
      <c r="AN422" s="91"/>
      <c r="AO422" s="91"/>
      <c r="AP422" s="91"/>
    </row>
    <row r="423">
      <c r="AK423" s="88"/>
      <c r="AL423" s="91"/>
      <c r="AM423" s="91"/>
      <c r="AN423" s="91"/>
      <c r="AO423" s="91"/>
      <c r="AP423" s="91"/>
    </row>
    <row r="424">
      <c r="AK424" s="88"/>
      <c r="AL424" s="91"/>
      <c r="AM424" s="91"/>
      <c r="AN424" s="91"/>
      <c r="AO424" s="91"/>
      <c r="AP424" s="91"/>
    </row>
    <row r="425">
      <c r="AK425" s="88"/>
      <c r="AL425" s="91"/>
      <c r="AM425" s="91"/>
      <c r="AN425" s="91"/>
      <c r="AO425" s="91"/>
      <c r="AP425" s="91"/>
    </row>
    <row r="426">
      <c r="AK426" s="88"/>
      <c r="AL426" s="91"/>
      <c r="AM426" s="91"/>
      <c r="AN426" s="91"/>
      <c r="AO426" s="91"/>
      <c r="AP426" s="91"/>
    </row>
    <row r="427">
      <c r="AK427" s="88"/>
      <c r="AL427" s="91"/>
      <c r="AM427" s="91"/>
      <c r="AN427" s="91"/>
      <c r="AO427" s="91"/>
      <c r="AP427" s="91"/>
    </row>
    <row r="428">
      <c r="AK428" s="88"/>
      <c r="AL428" s="91"/>
      <c r="AM428" s="91"/>
      <c r="AN428" s="91"/>
      <c r="AO428" s="91"/>
      <c r="AP428" s="91"/>
    </row>
    <row r="429">
      <c r="AK429" s="88"/>
      <c r="AL429" s="91"/>
      <c r="AM429" s="91"/>
      <c r="AN429" s="91"/>
      <c r="AO429" s="91"/>
      <c r="AP429" s="91"/>
    </row>
    <row r="430">
      <c r="AK430" s="88"/>
      <c r="AL430" s="91"/>
      <c r="AM430" s="91"/>
      <c r="AN430" s="91"/>
      <c r="AO430" s="91"/>
      <c r="AP430" s="91"/>
    </row>
    <row r="431">
      <c r="AK431" s="88"/>
      <c r="AL431" s="91"/>
      <c r="AM431" s="91"/>
      <c r="AN431" s="91"/>
      <c r="AO431" s="91"/>
      <c r="AP431" s="91"/>
    </row>
    <row r="432">
      <c r="AK432" s="88"/>
      <c r="AL432" s="91"/>
      <c r="AM432" s="91"/>
      <c r="AN432" s="91"/>
      <c r="AO432" s="91"/>
      <c r="AP432" s="91"/>
    </row>
    <row r="433">
      <c r="AK433" s="88"/>
      <c r="AL433" s="91"/>
      <c r="AM433" s="91"/>
      <c r="AN433" s="91"/>
      <c r="AO433" s="91"/>
      <c r="AP433" s="91"/>
    </row>
    <row r="434">
      <c r="AK434" s="88"/>
      <c r="AL434" s="91"/>
      <c r="AM434" s="91"/>
      <c r="AN434" s="91"/>
      <c r="AO434" s="91"/>
      <c r="AP434" s="91"/>
    </row>
    <row r="435">
      <c r="AK435" s="88"/>
      <c r="AL435" s="91"/>
      <c r="AM435" s="91"/>
      <c r="AN435" s="91"/>
      <c r="AO435" s="91"/>
      <c r="AP435" s="91"/>
    </row>
    <row r="436">
      <c r="AK436" s="88"/>
      <c r="AL436" s="91"/>
      <c r="AM436" s="91"/>
      <c r="AN436" s="91"/>
      <c r="AO436" s="91"/>
      <c r="AP436" s="91"/>
    </row>
    <row r="437">
      <c r="AK437" s="88"/>
      <c r="AL437" s="91"/>
      <c r="AM437" s="91"/>
      <c r="AN437" s="91"/>
      <c r="AO437" s="91"/>
      <c r="AP437" s="91"/>
    </row>
    <row r="438">
      <c r="AK438" s="88"/>
      <c r="AL438" s="91"/>
      <c r="AM438" s="91"/>
      <c r="AN438" s="91"/>
      <c r="AO438" s="91"/>
      <c r="AP438" s="91"/>
    </row>
    <row r="439">
      <c r="AK439" s="88"/>
      <c r="AL439" s="91"/>
      <c r="AM439" s="91"/>
      <c r="AN439" s="91"/>
      <c r="AO439" s="91"/>
      <c r="AP439" s="91"/>
    </row>
    <row r="440">
      <c r="AK440" s="88"/>
      <c r="AL440" s="91"/>
      <c r="AM440" s="91"/>
      <c r="AN440" s="91"/>
      <c r="AO440" s="91"/>
      <c r="AP440" s="91"/>
    </row>
    <row r="441">
      <c r="AK441" s="88"/>
      <c r="AL441" s="91"/>
      <c r="AM441" s="91"/>
      <c r="AN441" s="91"/>
      <c r="AO441" s="91"/>
      <c r="AP441" s="91"/>
    </row>
    <row r="442">
      <c r="AK442" s="88"/>
      <c r="AL442" s="91"/>
      <c r="AM442" s="91"/>
      <c r="AN442" s="91"/>
      <c r="AO442" s="91"/>
      <c r="AP442" s="91"/>
    </row>
    <row r="443">
      <c r="AK443" s="88"/>
      <c r="AL443" s="91"/>
      <c r="AM443" s="91"/>
      <c r="AN443" s="91"/>
      <c r="AO443" s="91"/>
      <c r="AP443" s="91"/>
    </row>
    <row r="444">
      <c r="AK444" s="88"/>
      <c r="AL444" s="91"/>
      <c r="AM444" s="91"/>
      <c r="AN444" s="91"/>
      <c r="AO444" s="91"/>
      <c r="AP444" s="91"/>
    </row>
    <row r="445">
      <c r="AK445" s="88"/>
      <c r="AL445" s="91"/>
      <c r="AM445" s="91"/>
      <c r="AN445" s="91"/>
      <c r="AO445" s="91"/>
      <c r="AP445" s="91"/>
    </row>
    <row r="446">
      <c r="AK446" s="88"/>
      <c r="AL446" s="91"/>
      <c r="AM446" s="91"/>
      <c r="AN446" s="91"/>
      <c r="AO446" s="91"/>
      <c r="AP446" s="91"/>
    </row>
    <row r="447">
      <c r="AK447" s="88"/>
      <c r="AL447" s="91"/>
      <c r="AM447" s="91"/>
      <c r="AN447" s="91"/>
      <c r="AO447" s="91"/>
      <c r="AP447" s="91"/>
    </row>
    <row r="448">
      <c r="AK448" s="88"/>
      <c r="AL448" s="91"/>
      <c r="AM448" s="91"/>
      <c r="AN448" s="91"/>
      <c r="AO448" s="91"/>
      <c r="AP448" s="91"/>
    </row>
    <row r="449">
      <c r="AK449" s="88"/>
      <c r="AL449" s="91"/>
      <c r="AM449" s="91"/>
      <c r="AN449" s="91"/>
      <c r="AO449" s="91"/>
      <c r="AP449" s="91"/>
    </row>
    <row r="450">
      <c r="AK450" s="88"/>
      <c r="AL450" s="91"/>
      <c r="AM450" s="91"/>
      <c r="AN450" s="91"/>
      <c r="AO450" s="91"/>
      <c r="AP450" s="91"/>
    </row>
    <row r="451">
      <c r="AK451" s="88"/>
      <c r="AL451" s="91"/>
      <c r="AM451" s="91"/>
      <c r="AN451" s="91"/>
      <c r="AO451" s="91"/>
      <c r="AP451" s="91"/>
    </row>
    <row r="452">
      <c r="AK452" s="88"/>
      <c r="AL452" s="91"/>
      <c r="AM452" s="91"/>
      <c r="AN452" s="91"/>
      <c r="AO452" s="91"/>
      <c r="AP452" s="91"/>
    </row>
    <row r="453">
      <c r="AK453" s="88"/>
      <c r="AL453" s="91"/>
      <c r="AM453" s="91"/>
      <c r="AN453" s="91"/>
      <c r="AO453" s="91"/>
      <c r="AP453" s="91"/>
    </row>
    <row r="454">
      <c r="AK454" s="88"/>
      <c r="AL454" s="91"/>
      <c r="AM454" s="91"/>
      <c r="AN454" s="91"/>
      <c r="AO454" s="91"/>
      <c r="AP454" s="91"/>
    </row>
    <row r="455">
      <c r="AK455" s="88"/>
      <c r="AL455" s="91"/>
      <c r="AM455" s="91"/>
      <c r="AN455" s="91"/>
      <c r="AO455" s="91"/>
      <c r="AP455" s="91"/>
    </row>
    <row r="456">
      <c r="AK456" s="88"/>
      <c r="AL456" s="91"/>
      <c r="AM456" s="91"/>
      <c r="AN456" s="91"/>
      <c r="AO456" s="91"/>
      <c r="AP456" s="91"/>
    </row>
    <row r="457">
      <c r="AK457" s="88"/>
      <c r="AL457" s="91"/>
      <c r="AM457" s="91"/>
      <c r="AN457" s="91"/>
      <c r="AO457" s="91"/>
      <c r="AP457" s="91"/>
    </row>
    <row r="458">
      <c r="AK458" s="88"/>
      <c r="AL458" s="91"/>
      <c r="AM458" s="91"/>
      <c r="AN458" s="91"/>
      <c r="AO458" s="91"/>
      <c r="AP458" s="91"/>
    </row>
    <row r="459">
      <c r="AK459" s="88"/>
      <c r="AL459" s="91"/>
      <c r="AM459" s="91"/>
      <c r="AN459" s="91"/>
      <c r="AO459" s="91"/>
      <c r="AP459" s="91"/>
    </row>
    <row r="460">
      <c r="AK460" s="88"/>
      <c r="AL460" s="91"/>
      <c r="AM460" s="91"/>
      <c r="AN460" s="91"/>
      <c r="AO460" s="91"/>
      <c r="AP460" s="91"/>
    </row>
    <row r="461">
      <c r="AK461" s="88"/>
      <c r="AL461" s="91"/>
      <c r="AM461" s="91"/>
      <c r="AN461" s="91"/>
      <c r="AO461" s="91"/>
      <c r="AP461" s="91"/>
    </row>
    <row r="462">
      <c r="AK462" s="88"/>
      <c r="AL462" s="91"/>
      <c r="AM462" s="91"/>
      <c r="AN462" s="91"/>
      <c r="AO462" s="91"/>
      <c r="AP462" s="91"/>
    </row>
    <row r="463">
      <c r="AK463" s="88"/>
      <c r="AL463" s="91"/>
      <c r="AM463" s="91"/>
      <c r="AN463" s="91"/>
      <c r="AO463" s="91"/>
      <c r="AP463" s="91"/>
    </row>
    <row r="464">
      <c r="AK464" s="88"/>
      <c r="AL464" s="91"/>
      <c r="AM464" s="91"/>
      <c r="AN464" s="91"/>
      <c r="AO464" s="91"/>
      <c r="AP464" s="91"/>
    </row>
    <row r="465">
      <c r="AK465" s="88"/>
      <c r="AL465" s="91"/>
      <c r="AM465" s="91"/>
      <c r="AN465" s="91"/>
      <c r="AO465" s="91"/>
      <c r="AP465" s="91"/>
    </row>
    <row r="466">
      <c r="AK466" s="88"/>
      <c r="AL466" s="91"/>
      <c r="AM466" s="91"/>
      <c r="AN466" s="91"/>
      <c r="AO466" s="91"/>
      <c r="AP466" s="91"/>
    </row>
    <row r="467">
      <c r="AK467" s="88"/>
      <c r="AL467" s="91"/>
      <c r="AM467" s="91"/>
      <c r="AN467" s="91"/>
      <c r="AO467" s="91"/>
      <c r="AP467" s="91"/>
    </row>
    <row r="468">
      <c r="AK468" s="88"/>
      <c r="AL468" s="91"/>
      <c r="AM468" s="91"/>
      <c r="AN468" s="91"/>
      <c r="AO468" s="91"/>
      <c r="AP468" s="91"/>
    </row>
    <row r="469">
      <c r="AK469" s="88"/>
      <c r="AL469" s="91"/>
      <c r="AM469" s="91"/>
      <c r="AN469" s="91"/>
      <c r="AO469" s="91"/>
      <c r="AP469" s="91"/>
    </row>
    <row r="470">
      <c r="AK470" s="88"/>
      <c r="AL470" s="91"/>
      <c r="AM470" s="91"/>
      <c r="AN470" s="91"/>
      <c r="AO470" s="91"/>
      <c r="AP470" s="91"/>
    </row>
    <row r="471">
      <c r="AK471" s="88"/>
      <c r="AL471" s="91"/>
      <c r="AM471" s="91"/>
      <c r="AN471" s="91"/>
      <c r="AO471" s="91"/>
      <c r="AP471" s="91"/>
    </row>
    <row r="472">
      <c r="AK472" s="88"/>
      <c r="AL472" s="91"/>
      <c r="AM472" s="91"/>
      <c r="AN472" s="91"/>
      <c r="AO472" s="91"/>
      <c r="AP472" s="91"/>
    </row>
    <row r="473">
      <c r="AK473" s="88"/>
      <c r="AL473" s="91"/>
      <c r="AM473" s="91"/>
      <c r="AN473" s="91"/>
      <c r="AO473" s="91"/>
      <c r="AP473" s="91"/>
    </row>
    <row r="474">
      <c r="AK474" s="88"/>
      <c r="AL474" s="91"/>
      <c r="AM474" s="91"/>
      <c r="AN474" s="91"/>
      <c r="AO474" s="91"/>
      <c r="AP474" s="91"/>
    </row>
    <row r="475">
      <c r="AK475" s="88"/>
      <c r="AL475" s="91"/>
      <c r="AM475" s="91"/>
      <c r="AN475" s="91"/>
      <c r="AO475" s="91"/>
      <c r="AP475" s="91"/>
    </row>
    <row r="476">
      <c r="AK476" s="88"/>
      <c r="AL476" s="91"/>
      <c r="AM476" s="91"/>
      <c r="AN476" s="91"/>
      <c r="AO476" s="91"/>
      <c r="AP476" s="91"/>
    </row>
    <row r="477">
      <c r="AK477" s="88"/>
      <c r="AL477" s="91"/>
      <c r="AM477" s="91"/>
      <c r="AN477" s="91"/>
      <c r="AO477" s="91"/>
      <c r="AP477" s="91"/>
    </row>
    <row r="478">
      <c r="AK478" s="88"/>
      <c r="AL478" s="91"/>
      <c r="AM478" s="91"/>
      <c r="AN478" s="91"/>
      <c r="AO478" s="91"/>
      <c r="AP478" s="91"/>
    </row>
    <row r="479">
      <c r="AK479" s="88"/>
      <c r="AL479" s="91"/>
      <c r="AM479" s="91"/>
      <c r="AN479" s="91"/>
      <c r="AO479" s="91"/>
      <c r="AP479" s="91"/>
    </row>
    <row r="480">
      <c r="AK480" s="88"/>
      <c r="AL480" s="91"/>
      <c r="AM480" s="91"/>
      <c r="AN480" s="91"/>
      <c r="AO480" s="91"/>
      <c r="AP480" s="91"/>
    </row>
    <row r="481">
      <c r="AK481" s="88"/>
      <c r="AL481" s="91"/>
      <c r="AM481" s="91"/>
      <c r="AN481" s="91"/>
      <c r="AO481" s="91"/>
      <c r="AP481" s="91"/>
    </row>
    <row r="482">
      <c r="AK482" s="88"/>
      <c r="AL482" s="91"/>
      <c r="AM482" s="91"/>
      <c r="AN482" s="91"/>
      <c r="AO482" s="91"/>
      <c r="AP482" s="91"/>
    </row>
    <row r="483">
      <c r="AK483" s="88"/>
      <c r="AL483" s="91"/>
      <c r="AM483" s="91"/>
      <c r="AN483" s="91"/>
      <c r="AO483" s="91"/>
      <c r="AP483" s="91"/>
    </row>
    <row r="484">
      <c r="AK484" s="88"/>
      <c r="AL484" s="91"/>
      <c r="AM484" s="91"/>
      <c r="AN484" s="91"/>
      <c r="AO484" s="91"/>
      <c r="AP484" s="91"/>
    </row>
    <row r="485">
      <c r="AK485" s="88"/>
      <c r="AL485" s="91"/>
      <c r="AM485" s="91"/>
      <c r="AN485" s="91"/>
      <c r="AO485" s="91"/>
      <c r="AP485" s="91"/>
    </row>
    <row r="486">
      <c r="AK486" s="88"/>
      <c r="AL486" s="91"/>
      <c r="AM486" s="91"/>
      <c r="AN486" s="91"/>
      <c r="AO486" s="91"/>
      <c r="AP486" s="91"/>
    </row>
    <row r="487">
      <c r="AK487" s="88"/>
      <c r="AL487" s="91"/>
      <c r="AM487" s="91"/>
      <c r="AN487" s="91"/>
      <c r="AO487" s="91"/>
      <c r="AP487" s="91"/>
    </row>
    <row r="488">
      <c r="AK488" s="88"/>
      <c r="AL488" s="91"/>
      <c r="AM488" s="91"/>
      <c r="AN488" s="91"/>
      <c r="AO488" s="91"/>
      <c r="AP488" s="91"/>
    </row>
    <row r="489">
      <c r="AK489" s="88"/>
      <c r="AL489" s="91"/>
      <c r="AM489" s="91"/>
      <c r="AN489" s="91"/>
      <c r="AO489" s="91"/>
      <c r="AP489" s="91"/>
    </row>
    <row r="490">
      <c r="AK490" s="88"/>
      <c r="AL490" s="91"/>
      <c r="AM490" s="91"/>
      <c r="AN490" s="91"/>
      <c r="AO490" s="91"/>
      <c r="AP490" s="91"/>
    </row>
    <row r="491">
      <c r="AK491" s="88"/>
      <c r="AL491" s="91"/>
      <c r="AM491" s="91"/>
      <c r="AN491" s="91"/>
      <c r="AO491" s="91"/>
      <c r="AP491" s="91"/>
    </row>
    <row r="492">
      <c r="AK492" s="88"/>
      <c r="AL492" s="91"/>
      <c r="AM492" s="91"/>
      <c r="AN492" s="91"/>
      <c r="AO492" s="91"/>
      <c r="AP492" s="91"/>
    </row>
    <row r="493">
      <c r="AK493" s="88"/>
      <c r="AL493" s="91"/>
      <c r="AM493" s="91"/>
      <c r="AN493" s="91"/>
      <c r="AO493" s="91"/>
      <c r="AP493" s="91"/>
    </row>
    <row r="494">
      <c r="AK494" s="88"/>
      <c r="AL494" s="91"/>
      <c r="AM494" s="91"/>
      <c r="AN494" s="91"/>
      <c r="AO494" s="91"/>
      <c r="AP494" s="91"/>
    </row>
    <row r="495">
      <c r="AK495" s="88"/>
      <c r="AL495" s="91"/>
      <c r="AM495" s="91"/>
      <c r="AN495" s="91"/>
      <c r="AO495" s="91"/>
      <c r="AP495" s="91"/>
    </row>
    <row r="496">
      <c r="AK496" s="88"/>
      <c r="AL496" s="91"/>
      <c r="AM496" s="91"/>
      <c r="AN496" s="91"/>
      <c r="AO496" s="91"/>
      <c r="AP496" s="91"/>
    </row>
    <row r="497">
      <c r="AK497" s="88"/>
      <c r="AL497" s="91"/>
      <c r="AM497" s="91"/>
      <c r="AN497" s="91"/>
      <c r="AO497" s="91"/>
      <c r="AP497" s="91"/>
    </row>
    <row r="498">
      <c r="AK498" s="88"/>
      <c r="AL498" s="91"/>
      <c r="AM498" s="91"/>
      <c r="AN498" s="91"/>
      <c r="AO498" s="91"/>
      <c r="AP498" s="91"/>
    </row>
    <row r="499">
      <c r="AK499" s="88"/>
      <c r="AL499" s="91"/>
      <c r="AM499" s="91"/>
      <c r="AN499" s="91"/>
      <c r="AO499" s="91"/>
      <c r="AP499" s="91"/>
    </row>
    <row r="500">
      <c r="AK500" s="88"/>
      <c r="AL500" s="91"/>
      <c r="AM500" s="91"/>
      <c r="AN500" s="91"/>
      <c r="AO500" s="91"/>
      <c r="AP500" s="91"/>
    </row>
    <row r="501">
      <c r="AK501" s="88"/>
      <c r="AL501" s="91"/>
      <c r="AM501" s="91"/>
      <c r="AN501" s="91"/>
      <c r="AO501" s="91"/>
      <c r="AP501" s="91"/>
    </row>
    <row r="502">
      <c r="AK502" s="88"/>
      <c r="AL502" s="91"/>
      <c r="AM502" s="91"/>
      <c r="AN502" s="91"/>
      <c r="AO502" s="91"/>
      <c r="AP502" s="91"/>
    </row>
    <row r="503">
      <c r="AK503" s="88"/>
      <c r="AL503" s="91"/>
      <c r="AM503" s="91"/>
      <c r="AN503" s="91"/>
      <c r="AO503" s="91"/>
      <c r="AP503" s="91"/>
    </row>
    <row r="504">
      <c r="AK504" s="88"/>
      <c r="AL504" s="91"/>
      <c r="AM504" s="91"/>
      <c r="AN504" s="91"/>
      <c r="AO504" s="91"/>
      <c r="AP504" s="91"/>
    </row>
    <row r="505">
      <c r="AK505" s="88"/>
      <c r="AL505" s="91"/>
      <c r="AM505" s="91"/>
      <c r="AN505" s="91"/>
      <c r="AO505" s="91"/>
      <c r="AP505" s="91"/>
    </row>
    <row r="506">
      <c r="AK506" s="88"/>
      <c r="AL506" s="91"/>
      <c r="AM506" s="91"/>
      <c r="AN506" s="91"/>
      <c r="AO506" s="91"/>
      <c r="AP506" s="91"/>
    </row>
    <row r="507">
      <c r="AK507" s="88"/>
      <c r="AL507" s="91"/>
      <c r="AM507" s="91"/>
      <c r="AN507" s="91"/>
      <c r="AO507" s="91"/>
      <c r="AP507" s="91"/>
    </row>
    <row r="508">
      <c r="AK508" s="88"/>
      <c r="AL508" s="91"/>
      <c r="AM508" s="91"/>
      <c r="AN508" s="91"/>
      <c r="AO508" s="91"/>
      <c r="AP508" s="91"/>
    </row>
    <row r="509">
      <c r="AK509" s="88"/>
      <c r="AL509" s="91"/>
      <c r="AM509" s="91"/>
      <c r="AN509" s="91"/>
      <c r="AO509" s="91"/>
      <c r="AP509" s="91"/>
    </row>
    <row r="510">
      <c r="AK510" s="88"/>
      <c r="AL510" s="91"/>
      <c r="AM510" s="91"/>
      <c r="AN510" s="91"/>
      <c r="AO510" s="91"/>
      <c r="AP510" s="91"/>
    </row>
    <row r="511">
      <c r="AK511" s="88"/>
      <c r="AL511" s="91"/>
      <c r="AM511" s="91"/>
      <c r="AN511" s="91"/>
      <c r="AO511" s="91"/>
      <c r="AP511" s="91"/>
    </row>
    <row r="512">
      <c r="AK512" s="88"/>
      <c r="AL512" s="91"/>
      <c r="AM512" s="91"/>
      <c r="AN512" s="91"/>
      <c r="AO512" s="91"/>
      <c r="AP512" s="91"/>
    </row>
    <row r="513">
      <c r="AK513" s="88"/>
      <c r="AL513" s="91"/>
      <c r="AM513" s="91"/>
      <c r="AN513" s="91"/>
      <c r="AO513" s="91"/>
      <c r="AP513" s="91"/>
    </row>
    <row r="514">
      <c r="AK514" s="88"/>
      <c r="AL514" s="91"/>
      <c r="AM514" s="91"/>
      <c r="AN514" s="91"/>
      <c r="AO514" s="91"/>
      <c r="AP514" s="91"/>
    </row>
    <row r="515">
      <c r="AK515" s="88"/>
      <c r="AL515" s="91"/>
      <c r="AM515" s="91"/>
      <c r="AN515" s="91"/>
      <c r="AO515" s="91"/>
      <c r="AP515" s="91"/>
    </row>
    <row r="516">
      <c r="AK516" s="88"/>
      <c r="AL516" s="91"/>
      <c r="AM516" s="91"/>
      <c r="AN516" s="91"/>
      <c r="AO516" s="91"/>
      <c r="AP516" s="91"/>
    </row>
    <row r="517">
      <c r="AK517" s="88"/>
      <c r="AL517" s="91"/>
      <c r="AM517" s="91"/>
      <c r="AN517" s="91"/>
      <c r="AO517" s="91"/>
      <c r="AP517" s="91"/>
    </row>
    <row r="518">
      <c r="AK518" s="88"/>
      <c r="AL518" s="91"/>
      <c r="AM518" s="91"/>
      <c r="AN518" s="91"/>
      <c r="AO518" s="91"/>
      <c r="AP518" s="91"/>
    </row>
    <row r="519">
      <c r="AK519" s="88"/>
      <c r="AL519" s="91"/>
      <c r="AM519" s="91"/>
      <c r="AN519" s="91"/>
      <c r="AO519" s="91"/>
      <c r="AP519" s="91"/>
    </row>
    <row r="520">
      <c r="AK520" s="88"/>
      <c r="AL520" s="91"/>
      <c r="AM520" s="91"/>
      <c r="AN520" s="91"/>
      <c r="AO520" s="91"/>
      <c r="AP520" s="91"/>
    </row>
    <row r="521">
      <c r="AK521" s="88"/>
      <c r="AL521" s="91"/>
      <c r="AM521" s="91"/>
      <c r="AN521" s="91"/>
      <c r="AO521" s="91"/>
      <c r="AP521" s="91"/>
    </row>
    <row r="522">
      <c r="AK522" s="88"/>
      <c r="AL522" s="91"/>
      <c r="AM522" s="91"/>
      <c r="AN522" s="91"/>
      <c r="AO522" s="91"/>
      <c r="AP522" s="91"/>
    </row>
    <row r="523">
      <c r="AK523" s="88"/>
      <c r="AL523" s="91"/>
      <c r="AM523" s="91"/>
      <c r="AN523" s="91"/>
      <c r="AO523" s="91"/>
      <c r="AP523" s="91"/>
    </row>
    <row r="524">
      <c r="AK524" s="88"/>
      <c r="AL524" s="91"/>
      <c r="AM524" s="91"/>
      <c r="AN524" s="91"/>
      <c r="AO524" s="91"/>
      <c r="AP524" s="91"/>
    </row>
    <row r="525">
      <c r="AK525" s="88"/>
      <c r="AL525" s="91"/>
      <c r="AM525" s="91"/>
      <c r="AN525" s="91"/>
      <c r="AO525" s="91"/>
      <c r="AP525" s="91"/>
    </row>
    <row r="526">
      <c r="AK526" s="88"/>
      <c r="AL526" s="91"/>
      <c r="AM526" s="91"/>
      <c r="AN526" s="91"/>
      <c r="AO526" s="91"/>
      <c r="AP526" s="91"/>
    </row>
    <row r="527">
      <c r="AK527" s="88"/>
      <c r="AL527" s="91"/>
      <c r="AM527" s="91"/>
      <c r="AN527" s="91"/>
      <c r="AO527" s="91"/>
      <c r="AP527" s="91"/>
    </row>
    <row r="528">
      <c r="AK528" s="88"/>
      <c r="AL528" s="91"/>
      <c r="AM528" s="91"/>
      <c r="AN528" s="91"/>
      <c r="AO528" s="91"/>
      <c r="AP528" s="91"/>
    </row>
    <row r="529">
      <c r="AK529" s="88"/>
      <c r="AL529" s="91"/>
      <c r="AM529" s="91"/>
      <c r="AN529" s="91"/>
      <c r="AO529" s="91"/>
      <c r="AP529" s="91"/>
    </row>
    <row r="530">
      <c r="AK530" s="88"/>
      <c r="AL530" s="91"/>
      <c r="AM530" s="91"/>
      <c r="AN530" s="91"/>
      <c r="AO530" s="91"/>
      <c r="AP530" s="91"/>
    </row>
    <row r="531">
      <c r="AK531" s="88"/>
      <c r="AL531" s="91"/>
      <c r="AM531" s="91"/>
      <c r="AN531" s="91"/>
      <c r="AO531" s="91"/>
      <c r="AP531" s="91"/>
    </row>
    <row r="532">
      <c r="AK532" s="88"/>
      <c r="AL532" s="91"/>
      <c r="AM532" s="91"/>
      <c r="AN532" s="91"/>
      <c r="AO532" s="91"/>
      <c r="AP532" s="91"/>
    </row>
    <row r="533">
      <c r="AK533" s="88"/>
      <c r="AL533" s="91"/>
      <c r="AM533" s="91"/>
      <c r="AN533" s="91"/>
      <c r="AO533" s="91"/>
      <c r="AP533" s="91"/>
    </row>
    <row r="534">
      <c r="AK534" s="88"/>
      <c r="AL534" s="91"/>
      <c r="AM534" s="91"/>
      <c r="AN534" s="91"/>
      <c r="AO534" s="91"/>
      <c r="AP534" s="91"/>
    </row>
    <row r="535">
      <c r="AK535" s="88"/>
      <c r="AL535" s="91"/>
      <c r="AM535" s="91"/>
      <c r="AN535" s="91"/>
      <c r="AO535" s="91"/>
      <c r="AP535" s="91"/>
    </row>
    <row r="536">
      <c r="AK536" s="88"/>
      <c r="AL536" s="91"/>
      <c r="AM536" s="91"/>
      <c r="AN536" s="91"/>
      <c r="AO536" s="91"/>
      <c r="AP536" s="91"/>
    </row>
    <row r="537">
      <c r="AK537" s="88"/>
      <c r="AL537" s="91"/>
      <c r="AM537" s="91"/>
      <c r="AN537" s="91"/>
      <c r="AO537" s="91"/>
      <c r="AP537" s="91"/>
    </row>
    <row r="538">
      <c r="AK538" s="88"/>
      <c r="AL538" s="91"/>
      <c r="AM538" s="91"/>
      <c r="AN538" s="91"/>
      <c r="AO538" s="91"/>
      <c r="AP538" s="91"/>
    </row>
    <row r="539">
      <c r="AK539" s="88"/>
      <c r="AL539" s="91"/>
      <c r="AM539" s="91"/>
      <c r="AN539" s="91"/>
      <c r="AO539" s="91"/>
      <c r="AP539" s="91"/>
    </row>
    <row r="540">
      <c r="AK540" s="88"/>
      <c r="AL540" s="91"/>
      <c r="AM540" s="91"/>
      <c r="AN540" s="91"/>
      <c r="AO540" s="91"/>
      <c r="AP540" s="91"/>
    </row>
    <row r="541">
      <c r="AK541" s="88"/>
      <c r="AL541" s="91"/>
      <c r="AM541" s="91"/>
      <c r="AN541" s="91"/>
      <c r="AO541" s="91"/>
      <c r="AP541" s="91"/>
    </row>
    <row r="542">
      <c r="AK542" s="88"/>
      <c r="AL542" s="91"/>
      <c r="AM542" s="91"/>
      <c r="AN542" s="91"/>
      <c r="AO542" s="91"/>
      <c r="AP542" s="91"/>
    </row>
    <row r="543">
      <c r="AK543" s="88"/>
      <c r="AL543" s="91"/>
      <c r="AM543" s="91"/>
      <c r="AN543" s="91"/>
      <c r="AO543" s="91"/>
      <c r="AP543" s="91"/>
    </row>
    <row r="544">
      <c r="AK544" s="88"/>
      <c r="AL544" s="91"/>
      <c r="AM544" s="91"/>
      <c r="AN544" s="91"/>
      <c r="AO544" s="91"/>
      <c r="AP544" s="91"/>
    </row>
    <row r="545">
      <c r="AK545" s="88"/>
      <c r="AL545" s="91"/>
      <c r="AM545" s="91"/>
      <c r="AN545" s="91"/>
      <c r="AO545" s="91"/>
      <c r="AP545" s="91"/>
    </row>
    <row r="546">
      <c r="AK546" s="88"/>
      <c r="AL546" s="91"/>
      <c r="AM546" s="91"/>
      <c r="AN546" s="91"/>
      <c r="AO546" s="91"/>
      <c r="AP546" s="91"/>
    </row>
    <row r="547">
      <c r="AK547" s="88"/>
      <c r="AL547" s="91"/>
      <c r="AM547" s="91"/>
      <c r="AN547" s="91"/>
      <c r="AO547" s="91"/>
      <c r="AP547" s="91"/>
    </row>
    <row r="548">
      <c r="AK548" s="88"/>
      <c r="AL548" s="91"/>
      <c r="AM548" s="91"/>
      <c r="AN548" s="91"/>
      <c r="AO548" s="91"/>
      <c r="AP548" s="91"/>
    </row>
    <row r="549">
      <c r="AK549" s="88"/>
      <c r="AL549" s="91"/>
      <c r="AM549" s="91"/>
      <c r="AN549" s="91"/>
      <c r="AO549" s="91"/>
      <c r="AP549" s="91"/>
    </row>
    <row r="550">
      <c r="AK550" s="88"/>
      <c r="AL550" s="91"/>
      <c r="AM550" s="91"/>
      <c r="AN550" s="91"/>
      <c r="AO550" s="91"/>
      <c r="AP550" s="91"/>
    </row>
    <row r="551">
      <c r="AK551" s="88"/>
      <c r="AL551" s="91"/>
      <c r="AM551" s="91"/>
      <c r="AN551" s="91"/>
      <c r="AO551" s="91"/>
      <c r="AP551" s="91"/>
    </row>
    <row r="552">
      <c r="AK552" s="88"/>
      <c r="AL552" s="91"/>
      <c r="AM552" s="91"/>
      <c r="AN552" s="91"/>
      <c r="AO552" s="91"/>
      <c r="AP552" s="91"/>
    </row>
    <row r="553">
      <c r="AK553" s="88"/>
      <c r="AL553" s="91"/>
      <c r="AM553" s="91"/>
      <c r="AN553" s="91"/>
      <c r="AO553" s="91"/>
      <c r="AP553" s="91"/>
    </row>
    <row r="554">
      <c r="AK554" s="88"/>
      <c r="AL554" s="91"/>
      <c r="AM554" s="91"/>
      <c r="AN554" s="91"/>
      <c r="AO554" s="91"/>
      <c r="AP554" s="91"/>
    </row>
    <row r="555">
      <c r="AK555" s="88"/>
      <c r="AL555" s="91"/>
      <c r="AM555" s="91"/>
      <c r="AN555" s="91"/>
      <c r="AO555" s="91"/>
      <c r="AP555" s="91"/>
    </row>
    <row r="556">
      <c r="AK556" s="88"/>
      <c r="AL556" s="91"/>
      <c r="AM556" s="91"/>
      <c r="AN556" s="91"/>
      <c r="AO556" s="91"/>
      <c r="AP556" s="91"/>
    </row>
    <row r="557">
      <c r="AK557" s="88"/>
      <c r="AL557" s="91"/>
      <c r="AM557" s="91"/>
      <c r="AN557" s="91"/>
      <c r="AO557" s="91"/>
      <c r="AP557" s="91"/>
    </row>
    <row r="558">
      <c r="AK558" s="88"/>
      <c r="AL558" s="91"/>
      <c r="AM558" s="91"/>
      <c r="AN558" s="91"/>
      <c r="AO558" s="91"/>
      <c r="AP558" s="91"/>
    </row>
    <row r="559">
      <c r="AK559" s="88"/>
      <c r="AL559" s="91"/>
      <c r="AM559" s="91"/>
      <c r="AN559" s="91"/>
      <c r="AO559" s="91"/>
      <c r="AP559" s="91"/>
    </row>
    <row r="560">
      <c r="AK560" s="88"/>
      <c r="AL560" s="91"/>
      <c r="AM560" s="91"/>
      <c r="AN560" s="91"/>
      <c r="AO560" s="91"/>
      <c r="AP560" s="91"/>
    </row>
    <row r="561">
      <c r="AK561" s="88"/>
      <c r="AL561" s="91"/>
      <c r="AM561" s="91"/>
      <c r="AN561" s="91"/>
      <c r="AO561" s="91"/>
      <c r="AP561" s="91"/>
    </row>
    <row r="562">
      <c r="AK562" s="88"/>
      <c r="AL562" s="91"/>
      <c r="AM562" s="91"/>
      <c r="AN562" s="91"/>
      <c r="AO562" s="91"/>
      <c r="AP562" s="91"/>
    </row>
    <row r="563">
      <c r="AK563" s="88"/>
      <c r="AL563" s="91"/>
      <c r="AM563" s="91"/>
      <c r="AN563" s="91"/>
      <c r="AO563" s="91"/>
      <c r="AP563" s="91"/>
    </row>
    <row r="564">
      <c r="AK564" s="88"/>
      <c r="AL564" s="91"/>
      <c r="AM564" s="91"/>
      <c r="AN564" s="91"/>
      <c r="AO564" s="91"/>
      <c r="AP564" s="91"/>
    </row>
    <row r="565">
      <c r="AK565" s="88"/>
      <c r="AL565" s="91"/>
      <c r="AM565" s="91"/>
      <c r="AN565" s="91"/>
      <c r="AO565" s="91"/>
      <c r="AP565" s="91"/>
    </row>
    <row r="566">
      <c r="AK566" s="88"/>
      <c r="AL566" s="91"/>
      <c r="AM566" s="91"/>
      <c r="AN566" s="91"/>
      <c r="AO566" s="91"/>
      <c r="AP566" s="91"/>
    </row>
    <row r="567">
      <c r="AK567" s="88"/>
      <c r="AL567" s="91"/>
      <c r="AM567" s="91"/>
      <c r="AN567" s="91"/>
      <c r="AO567" s="91"/>
      <c r="AP567" s="91"/>
    </row>
    <row r="568">
      <c r="AK568" s="88"/>
      <c r="AL568" s="91"/>
      <c r="AM568" s="91"/>
      <c r="AN568" s="91"/>
      <c r="AO568" s="91"/>
      <c r="AP568" s="91"/>
    </row>
    <row r="569">
      <c r="AK569" s="88"/>
      <c r="AL569" s="91"/>
      <c r="AM569" s="91"/>
      <c r="AN569" s="91"/>
      <c r="AO569" s="91"/>
      <c r="AP569" s="91"/>
    </row>
    <row r="570">
      <c r="AK570" s="88"/>
      <c r="AL570" s="91"/>
      <c r="AM570" s="91"/>
      <c r="AN570" s="91"/>
      <c r="AO570" s="91"/>
      <c r="AP570" s="91"/>
    </row>
    <row r="571">
      <c r="AK571" s="88"/>
      <c r="AL571" s="91"/>
      <c r="AM571" s="91"/>
      <c r="AN571" s="91"/>
      <c r="AO571" s="91"/>
      <c r="AP571" s="91"/>
    </row>
    <row r="572">
      <c r="AK572" s="88"/>
      <c r="AL572" s="91"/>
      <c r="AM572" s="91"/>
      <c r="AN572" s="91"/>
      <c r="AO572" s="91"/>
      <c r="AP572" s="91"/>
    </row>
    <row r="573">
      <c r="AK573" s="88"/>
      <c r="AL573" s="91"/>
      <c r="AM573" s="91"/>
      <c r="AN573" s="91"/>
      <c r="AO573" s="91"/>
      <c r="AP573" s="91"/>
    </row>
    <row r="574">
      <c r="AK574" s="88"/>
      <c r="AL574" s="91"/>
      <c r="AM574" s="91"/>
      <c r="AN574" s="91"/>
      <c r="AO574" s="91"/>
      <c r="AP574" s="91"/>
    </row>
    <row r="575">
      <c r="AK575" s="88"/>
      <c r="AL575" s="91"/>
      <c r="AM575" s="91"/>
      <c r="AN575" s="91"/>
      <c r="AO575" s="91"/>
      <c r="AP575" s="91"/>
    </row>
    <row r="576">
      <c r="AK576" s="88"/>
      <c r="AL576" s="91"/>
      <c r="AM576" s="91"/>
      <c r="AN576" s="91"/>
      <c r="AO576" s="91"/>
      <c r="AP576" s="91"/>
    </row>
    <row r="577">
      <c r="AK577" s="88"/>
      <c r="AL577" s="91"/>
      <c r="AM577" s="91"/>
      <c r="AN577" s="91"/>
      <c r="AO577" s="91"/>
      <c r="AP577" s="91"/>
    </row>
    <row r="578">
      <c r="AK578" s="88"/>
      <c r="AL578" s="91"/>
      <c r="AM578" s="91"/>
      <c r="AN578" s="91"/>
      <c r="AO578" s="91"/>
      <c r="AP578" s="91"/>
    </row>
    <row r="579">
      <c r="AK579" s="88"/>
      <c r="AL579" s="91"/>
      <c r="AM579" s="91"/>
      <c r="AN579" s="91"/>
      <c r="AO579" s="91"/>
      <c r="AP579" s="91"/>
    </row>
    <row r="580">
      <c r="AK580" s="88"/>
      <c r="AL580" s="91"/>
      <c r="AM580" s="91"/>
      <c r="AN580" s="91"/>
      <c r="AO580" s="91"/>
      <c r="AP580" s="91"/>
    </row>
    <row r="581">
      <c r="AK581" s="88"/>
      <c r="AL581" s="91"/>
      <c r="AM581" s="91"/>
      <c r="AN581" s="91"/>
      <c r="AO581" s="91"/>
      <c r="AP581" s="91"/>
    </row>
    <row r="582">
      <c r="AK582" s="88"/>
      <c r="AL582" s="91"/>
      <c r="AM582" s="91"/>
      <c r="AN582" s="91"/>
      <c r="AO582" s="91"/>
      <c r="AP582" s="91"/>
    </row>
    <row r="583">
      <c r="AK583" s="88"/>
      <c r="AL583" s="91"/>
      <c r="AM583" s="91"/>
      <c r="AN583" s="91"/>
      <c r="AO583" s="91"/>
      <c r="AP583" s="91"/>
    </row>
    <row r="584">
      <c r="AK584" s="88"/>
      <c r="AL584" s="91"/>
      <c r="AM584" s="91"/>
      <c r="AN584" s="91"/>
      <c r="AO584" s="91"/>
      <c r="AP584" s="91"/>
    </row>
    <row r="585">
      <c r="AK585" s="88"/>
      <c r="AL585" s="91"/>
      <c r="AM585" s="91"/>
      <c r="AN585" s="91"/>
      <c r="AO585" s="91"/>
      <c r="AP585" s="91"/>
    </row>
    <row r="586">
      <c r="AK586" s="88"/>
      <c r="AL586" s="91"/>
      <c r="AM586" s="91"/>
      <c r="AN586" s="91"/>
      <c r="AO586" s="91"/>
      <c r="AP586" s="91"/>
    </row>
    <row r="587">
      <c r="AK587" s="88"/>
      <c r="AL587" s="91"/>
      <c r="AM587" s="91"/>
      <c r="AN587" s="91"/>
      <c r="AO587" s="91"/>
      <c r="AP587" s="91"/>
    </row>
    <row r="588">
      <c r="AK588" s="88"/>
      <c r="AL588" s="91"/>
      <c r="AM588" s="91"/>
      <c r="AN588" s="91"/>
      <c r="AO588" s="91"/>
      <c r="AP588" s="91"/>
    </row>
    <row r="589">
      <c r="AK589" s="88"/>
      <c r="AL589" s="91"/>
      <c r="AM589" s="91"/>
      <c r="AN589" s="91"/>
      <c r="AO589" s="91"/>
      <c r="AP589" s="91"/>
    </row>
    <row r="590">
      <c r="AK590" s="88"/>
      <c r="AL590" s="91"/>
      <c r="AM590" s="91"/>
      <c r="AN590" s="91"/>
      <c r="AO590" s="91"/>
      <c r="AP590" s="91"/>
    </row>
    <row r="591">
      <c r="AK591" s="88"/>
      <c r="AL591" s="91"/>
      <c r="AM591" s="91"/>
      <c r="AN591" s="91"/>
      <c r="AO591" s="91"/>
      <c r="AP591" s="91"/>
    </row>
    <row r="592">
      <c r="AK592" s="88"/>
      <c r="AL592" s="91"/>
      <c r="AM592" s="91"/>
      <c r="AN592" s="91"/>
      <c r="AO592" s="91"/>
      <c r="AP592" s="91"/>
    </row>
    <row r="593">
      <c r="AK593" s="88"/>
      <c r="AL593" s="91"/>
      <c r="AM593" s="91"/>
      <c r="AN593" s="91"/>
      <c r="AO593" s="91"/>
      <c r="AP593" s="91"/>
    </row>
    <row r="594">
      <c r="AK594" s="88"/>
      <c r="AL594" s="91"/>
      <c r="AM594" s="91"/>
      <c r="AN594" s="91"/>
      <c r="AO594" s="91"/>
      <c r="AP594" s="91"/>
    </row>
    <row r="595">
      <c r="AK595" s="88"/>
      <c r="AL595" s="91"/>
      <c r="AM595" s="91"/>
      <c r="AN595" s="91"/>
      <c r="AO595" s="91"/>
      <c r="AP595" s="91"/>
    </row>
    <row r="596">
      <c r="AK596" s="88"/>
      <c r="AL596" s="91"/>
      <c r="AM596" s="91"/>
      <c r="AN596" s="91"/>
      <c r="AO596" s="91"/>
      <c r="AP596" s="91"/>
    </row>
    <row r="597">
      <c r="AK597" s="88"/>
      <c r="AL597" s="91"/>
      <c r="AM597" s="91"/>
      <c r="AN597" s="91"/>
      <c r="AO597" s="91"/>
      <c r="AP597" s="91"/>
    </row>
    <row r="598">
      <c r="AK598" s="88"/>
      <c r="AL598" s="91"/>
      <c r="AM598" s="91"/>
      <c r="AN598" s="91"/>
      <c r="AO598" s="91"/>
      <c r="AP598" s="91"/>
    </row>
    <row r="599">
      <c r="AK599" s="88"/>
      <c r="AL599" s="91"/>
      <c r="AM599" s="91"/>
      <c r="AN599" s="91"/>
      <c r="AO599" s="91"/>
      <c r="AP599" s="91"/>
    </row>
    <row r="600">
      <c r="AK600" s="88"/>
      <c r="AL600" s="91"/>
      <c r="AM600" s="91"/>
      <c r="AN600" s="91"/>
      <c r="AO600" s="91"/>
      <c r="AP600" s="91"/>
    </row>
    <row r="601">
      <c r="AK601" s="88"/>
      <c r="AL601" s="91"/>
      <c r="AM601" s="91"/>
      <c r="AN601" s="91"/>
      <c r="AO601" s="91"/>
      <c r="AP601" s="91"/>
    </row>
    <row r="602">
      <c r="AK602" s="88"/>
      <c r="AL602" s="91"/>
      <c r="AM602" s="91"/>
      <c r="AN602" s="91"/>
      <c r="AO602" s="91"/>
      <c r="AP602" s="91"/>
    </row>
    <row r="603">
      <c r="AK603" s="88"/>
      <c r="AL603" s="91"/>
      <c r="AM603" s="91"/>
      <c r="AN603" s="91"/>
      <c r="AO603" s="91"/>
      <c r="AP603" s="91"/>
    </row>
    <row r="604">
      <c r="AK604" s="88"/>
      <c r="AL604" s="91"/>
      <c r="AM604" s="91"/>
      <c r="AN604" s="91"/>
      <c r="AO604" s="91"/>
      <c r="AP604" s="91"/>
    </row>
    <row r="605">
      <c r="AK605" s="88"/>
      <c r="AL605" s="91"/>
      <c r="AM605" s="91"/>
      <c r="AN605" s="91"/>
      <c r="AO605" s="91"/>
      <c r="AP605" s="91"/>
    </row>
    <row r="606">
      <c r="AK606" s="88"/>
      <c r="AL606" s="91"/>
      <c r="AM606" s="91"/>
      <c r="AN606" s="91"/>
      <c r="AO606" s="91"/>
      <c r="AP606" s="91"/>
    </row>
    <row r="607">
      <c r="AK607" s="88"/>
      <c r="AL607" s="91"/>
      <c r="AM607" s="91"/>
      <c r="AN607" s="91"/>
      <c r="AO607" s="91"/>
      <c r="AP607" s="91"/>
    </row>
    <row r="608">
      <c r="AK608" s="88"/>
      <c r="AL608" s="91"/>
      <c r="AM608" s="91"/>
      <c r="AN608" s="91"/>
      <c r="AO608" s="91"/>
      <c r="AP608" s="91"/>
    </row>
    <row r="609">
      <c r="AK609" s="88"/>
      <c r="AL609" s="91"/>
      <c r="AM609" s="91"/>
      <c r="AN609" s="91"/>
      <c r="AO609" s="91"/>
      <c r="AP609" s="91"/>
    </row>
    <row r="610">
      <c r="AK610" s="88"/>
      <c r="AL610" s="91"/>
      <c r="AM610" s="91"/>
      <c r="AN610" s="91"/>
      <c r="AO610" s="91"/>
      <c r="AP610" s="91"/>
    </row>
    <row r="611">
      <c r="AK611" s="88"/>
      <c r="AL611" s="91"/>
      <c r="AM611" s="91"/>
      <c r="AN611" s="91"/>
      <c r="AO611" s="91"/>
      <c r="AP611" s="91"/>
    </row>
    <row r="612">
      <c r="AK612" s="88"/>
      <c r="AL612" s="91"/>
      <c r="AM612" s="91"/>
      <c r="AN612" s="91"/>
      <c r="AO612" s="91"/>
      <c r="AP612" s="91"/>
    </row>
    <row r="613">
      <c r="AK613" s="88"/>
      <c r="AL613" s="91"/>
      <c r="AM613" s="91"/>
      <c r="AN613" s="91"/>
      <c r="AO613" s="91"/>
      <c r="AP613" s="91"/>
    </row>
    <row r="614">
      <c r="AK614" s="88"/>
      <c r="AL614" s="91"/>
      <c r="AM614" s="91"/>
      <c r="AN614" s="91"/>
      <c r="AO614" s="91"/>
      <c r="AP614" s="91"/>
    </row>
    <row r="615">
      <c r="AK615" s="88"/>
      <c r="AL615" s="91"/>
      <c r="AM615" s="91"/>
      <c r="AN615" s="91"/>
      <c r="AO615" s="91"/>
      <c r="AP615" s="91"/>
    </row>
    <row r="616">
      <c r="AK616" s="88"/>
      <c r="AL616" s="91"/>
      <c r="AM616" s="91"/>
      <c r="AN616" s="91"/>
      <c r="AO616" s="91"/>
      <c r="AP616" s="91"/>
    </row>
    <row r="617">
      <c r="AK617" s="88"/>
      <c r="AL617" s="91"/>
      <c r="AM617" s="91"/>
      <c r="AN617" s="91"/>
      <c r="AO617" s="91"/>
      <c r="AP617" s="91"/>
    </row>
    <row r="618">
      <c r="AK618" s="88"/>
      <c r="AL618" s="91"/>
      <c r="AM618" s="91"/>
      <c r="AN618" s="91"/>
      <c r="AO618" s="91"/>
      <c r="AP618" s="91"/>
    </row>
    <row r="619">
      <c r="AK619" s="88"/>
      <c r="AL619" s="91"/>
      <c r="AM619" s="91"/>
      <c r="AN619" s="91"/>
      <c r="AO619" s="91"/>
      <c r="AP619" s="91"/>
    </row>
    <row r="620">
      <c r="AK620" s="88"/>
      <c r="AL620" s="91"/>
      <c r="AM620" s="91"/>
      <c r="AN620" s="91"/>
      <c r="AO620" s="91"/>
      <c r="AP620" s="91"/>
    </row>
    <row r="621">
      <c r="AK621" s="88"/>
      <c r="AL621" s="91"/>
      <c r="AM621" s="91"/>
      <c r="AN621" s="91"/>
      <c r="AO621" s="91"/>
      <c r="AP621" s="91"/>
    </row>
    <row r="622">
      <c r="AK622" s="88"/>
      <c r="AL622" s="91"/>
      <c r="AM622" s="91"/>
      <c r="AN622" s="91"/>
      <c r="AO622" s="91"/>
      <c r="AP622" s="91"/>
    </row>
    <row r="623">
      <c r="AK623" s="88"/>
      <c r="AL623" s="91"/>
      <c r="AM623" s="91"/>
      <c r="AN623" s="91"/>
      <c r="AO623" s="91"/>
      <c r="AP623" s="91"/>
    </row>
    <row r="624">
      <c r="AK624" s="88"/>
      <c r="AL624" s="91"/>
      <c r="AM624" s="91"/>
      <c r="AN624" s="91"/>
      <c r="AO624" s="91"/>
      <c r="AP624" s="91"/>
    </row>
    <row r="625">
      <c r="AK625" s="88"/>
      <c r="AL625" s="91"/>
      <c r="AM625" s="91"/>
      <c r="AN625" s="91"/>
      <c r="AO625" s="91"/>
      <c r="AP625" s="91"/>
    </row>
    <row r="626">
      <c r="AK626" s="88"/>
      <c r="AL626" s="91"/>
      <c r="AM626" s="91"/>
      <c r="AN626" s="91"/>
      <c r="AO626" s="91"/>
      <c r="AP626" s="91"/>
    </row>
    <row r="627">
      <c r="AK627" s="88"/>
      <c r="AL627" s="91"/>
      <c r="AM627" s="91"/>
      <c r="AN627" s="91"/>
      <c r="AO627" s="91"/>
      <c r="AP627" s="91"/>
    </row>
    <row r="628">
      <c r="AK628" s="88"/>
      <c r="AL628" s="91"/>
      <c r="AM628" s="91"/>
      <c r="AN628" s="91"/>
      <c r="AO628" s="91"/>
      <c r="AP628" s="91"/>
    </row>
    <row r="629">
      <c r="AK629" s="88"/>
      <c r="AL629" s="91"/>
      <c r="AM629" s="91"/>
      <c r="AN629" s="91"/>
      <c r="AO629" s="91"/>
      <c r="AP629" s="91"/>
    </row>
    <row r="630">
      <c r="AK630" s="88"/>
      <c r="AL630" s="91"/>
      <c r="AM630" s="91"/>
      <c r="AN630" s="91"/>
      <c r="AO630" s="91"/>
      <c r="AP630" s="91"/>
    </row>
    <row r="631">
      <c r="AK631" s="88"/>
      <c r="AL631" s="91"/>
      <c r="AM631" s="91"/>
      <c r="AN631" s="91"/>
      <c r="AO631" s="91"/>
      <c r="AP631" s="91"/>
    </row>
    <row r="632">
      <c r="AK632" s="88"/>
      <c r="AL632" s="91"/>
      <c r="AM632" s="91"/>
      <c r="AN632" s="91"/>
      <c r="AO632" s="91"/>
      <c r="AP632" s="91"/>
    </row>
    <row r="633">
      <c r="AK633" s="88"/>
      <c r="AL633" s="91"/>
      <c r="AM633" s="91"/>
      <c r="AN633" s="91"/>
      <c r="AO633" s="91"/>
      <c r="AP633" s="91"/>
    </row>
    <row r="634">
      <c r="AK634" s="88"/>
      <c r="AL634" s="91"/>
      <c r="AM634" s="91"/>
      <c r="AN634" s="91"/>
      <c r="AO634" s="91"/>
      <c r="AP634" s="91"/>
    </row>
    <row r="635">
      <c r="AK635" s="88"/>
      <c r="AL635" s="91"/>
      <c r="AM635" s="91"/>
      <c r="AN635" s="91"/>
      <c r="AO635" s="91"/>
      <c r="AP635" s="91"/>
    </row>
    <row r="636">
      <c r="AK636" s="88"/>
      <c r="AL636" s="91"/>
      <c r="AM636" s="91"/>
      <c r="AN636" s="91"/>
      <c r="AO636" s="91"/>
      <c r="AP636" s="91"/>
    </row>
    <row r="637">
      <c r="AK637" s="88"/>
      <c r="AL637" s="91"/>
      <c r="AM637" s="91"/>
      <c r="AN637" s="91"/>
      <c r="AO637" s="91"/>
      <c r="AP637" s="91"/>
    </row>
    <row r="638">
      <c r="AK638" s="88"/>
      <c r="AL638" s="91"/>
      <c r="AM638" s="91"/>
      <c r="AN638" s="91"/>
      <c r="AO638" s="91"/>
      <c r="AP638" s="91"/>
    </row>
    <row r="639">
      <c r="AK639" s="88"/>
      <c r="AL639" s="91"/>
      <c r="AM639" s="91"/>
      <c r="AN639" s="91"/>
      <c r="AO639" s="91"/>
      <c r="AP639" s="91"/>
    </row>
    <row r="640">
      <c r="AK640" s="88"/>
      <c r="AL640" s="91"/>
      <c r="AM640" s="91"/>
      <c r="AN640" s="91"/>
      <c r="AO640" s="91"/>
      <c r="AP640" s="91"/>
    </row>
    <row r="641">
      <c r="AK641" s="88"/>
      <c r="AL641" s="91"/>
      <c r="AM641" s="91"/>
      <c r="AN641" s="91"/>
      <c r="AO641" s="91"/>
      <c r="AP641" s="91"/>
    </row>
    <row r="642">
      <c r="AK642" s="88"/>
      <c r="AL642" s="91"/>
      <c r="AM642" s="91"/>
      <c r="AN642" s="91"/>
      <c r="AO642" s="91"/>
      <c r="AP642" s="91"/>
    </row>
    <row r="643">
      <c r="AK643" s="88"/>
      <c r="AL643" s="91"/>
      <c r="AM643" s="91"/>
      <c r="AN643" s="91"/>
      <c r="AO643" s="91"/>
      <c r="AP643" s="91"/>
    </row>
    <row r="644">
      <c r="AK644" s="88"/>
      <c r="AL644" s="91"/>
      <c r="AM644" s="91"/>
      <c r="AN644" s="91"/>
      <c r="AO644" s="91"/>
      <c r="AP644" s="91"/>
    </row>
    <row r="645">
      <c r="AK645" s="88"/>
      <c r="AL645" s="91"/>
      <c r="AM645" s="91"/>
      <c r="AN645" s="91"/>
      <c r="AO645" s="91"/>
      <c r="AP645" s="91"/>
    </row>
    <row r="646">
      <c r="AK646" s="88"/>
      <c r="AL646" s="91"/>
      <c r="AM646" s="91"/>
      <c r="AN646" s="91"/>
      <c r="AO646" s="91"/>
      <c r="AP646" s="91"/>
    </row>
    <row r="647">
      <c r="AK647" s="88"/>
      <c r="AL647" s="91"/>
      <c r="AM647" s="91"/>
      <c r="AN647" s="91"/>
      <c r="AO647" s="91"/>
      <c r="AP647" s="91"/>
    </row>
    <row r="648">
      <c r="AK648" s="88"/>
      <c r="AL648" s="91"/>
      <c r="AM648" s="91"/>
      <c r="AN648" s="91"/>
      <c r="AO648" s="91"/>
      <c r="AP648" s="91"/>
    </row>
    <row r="649">
      <c r="AK649" s="88"/>
      <c r="AL649" s="91"/>
      <c r="AM649" s="91"/>
      <c r="AN649" s="91"/>
      <c r="AO649" s="91"/>
      <c r="AP649" s="91"/>
    </row>
    <row r="650">
      <c r="AK650" s="88"/>
      <c r="AL650" s="91"/>
      <c r="AM650" s="91"/>
      <c r="AN650" s="91"/>
      <c r="AO650" s="91"/>
      <c r="AP650" s="91"/>
    </row>
    <row r="651">
      <c r="AK651" s="88"/>
      <c r="AL651" s="91"/>
      <c r="AM651" s="91"/>
      <c r="AN651" s="91"/>
      <c r="AO651" s="91"/>
      <c r="AP651" s="91"/>
    </row>
    <row r="652">
      <c r="AK652" s="88"/>
      <c r="AL652" s="91"/>
      <c r="AM652" s="91"/>
      <c r="AN652" s="91"/>
      <c r="AO652" s="91"/>
      <c r="AP652" s="91"/>
    </row>
    <row r="653">
      <c r="AK653" s="88"/>
      <c r="AL653" s="91"/>
      <c r="AM653" s="91"/>
      <c r="AN653" s="91"/>
      <c r="AO653" s="91"/>
      <c r="AP653" s="91"/>
    </row>
    <row r="654">
      <c r="AK654" s="88"/>
      <c r="AL654" s="91"/>
      <c r="AM654" s="91"/>
      <c r="AN654" s="91"/>
      <c r="AO654" s="91"/>
      <c r="AP654" s="91"/>
    </row>
    <row r="655">
      <c r="AK655" s="88"/>
      <c r="AL655" s="91"/>
      <c r="AM655" s="91"/>
      <c r="AN655" s="91"/>
      <c r="AO655" s="91"/>
      <c r="AP655" s="91"/>
    </row>
    <row r="656">
      <c r="AK656" s="88"/>
      <c r="AL656" s="91"/>
      <c r="AM656" s="91"/>
      <c r="AN656" s="91"/>
      <c r="AO656" s="91"/>
      <c r="AP656" s="91"/>
    </row>
    <row r="657">
      <c r="AK657" s="88"/>
      <c r="AL657" s="91"/>
      <c r="AM657" s="91"/>
      <c r="AN657" s="91"/>
      <c r="AO657" s="91"/>
      <c r="AP657" s="91"/>
    </row>
    <row r="658">
      <c r="AK658" s="88"/>
      <c r="AL658" s="91"/>
      <c r="AM658" s="91"/>
      <c r="AN658" s="91"/>
      <c r="AO658" s="91"/>
      <c r="AP658" s="91"/>
    </row>
    <row r="659">
      <c r="AK659" s="88"/>
      <c r="AL659" s="91"/>
      <c r="AM659" s="91"/>
      <c r="AN659" s="91"/>
      <c r="AO659" s="91"/>
      <c r="AP659" s="91"/>
    </row>
    <row r="660">
      <c r="AK660" s="88"/>
      <c r="AL660" s="91"/>
      <c r="AM660" s="91"/>
      <c r="AN660" s="91"/>
      <c r="AO660" s="91"/>
      <c r="AP660" s="91"/>
    </row>
    <row r="661">
      <c r="AK661" s="88"/>
      <c r="AL661" s="91"/>
      <c r="AM661" s="91"/>
      <c r="AN661" s="91"/>
      <c r="AO661" s="91"/>
      <c r="AP661" s="91"/>
    </row>
    <row r="662">
      <c r="AK662" s="88"/>
      <c r="AL662" s="91"/>
      <c r="AM662" s="91"/>
      <c r="AN662" s="91"/>
      <c r="AO662" s="91"/>
      <c r="AP662" s="91"/>
    </row>
    <row r="663">
      <c r="AK663" s="88"/>
      <c r="AL663" s="91"/>
      <c r="AM663" s="91"/>
      <c r="AN663" s="91"/>
      <c r="AO663" s="91"/>
      <c r="AP663" s="91"/>
    </row>
    <row r="664">
      <c r="AK664" s="88"/>
      <c r="AL664" s="91"/>
      <c r="AM664" s="91"/>
      <c r="AN664" s="91"/>
      <c r="AO664" s="91"/>
      <c r="AP664" s="91"/>
    </row>
    <row r="665">
      <c r="AK665" s="88"/>
      <c r="AL665" s="91"/>
      <c r="AM665" s="91"/>
      <c r="AN665" s="91"/>
      <c r="AO665" s="91"/>
      <c r="AP665" s="91"/>
    </row>
    <row r="666">
      <c r="AK666" s="88"/>
      <c r="AL666" s="91"/>
      <c r="AM666" s="91"/>
      <c r="AN666" s="91"/>
      <c r="AO666" s="91"/>
      <c r="AP666" s="91"/>
    </row>
    <row r="667">
      <c r="AK667" s="88"/>
      <c r="AL667" s="91"/>
      <c r="AM667" s="91"/>
      <c r="AN667" s="91"/>
      <c r="AO667" s="91"/>
      <c r="AP667" s="91"/>
    </row>
    <row r="668">
      <c r="AK668" s="88"/>
      <c r="AL668" s="91"/>
      <c r="AM668" s="91"/>
      <c r="AN668" s="91"/>
      <c r="AO668" s="91"/>
      <c r="AP668" s="91"/>
    </row>
    <row r="669">
      <c r="AK669" s="88"/>
      <c r="AL669" s="91"/>
      <c r="AM669" s="91"/>
      <c r="AN669" s="91"/>
      <c r="AO669" s="91"/>
      <c r="AP669" s="91"/>
    </row>
    <row r="670">
      <c r="AK670" s="88"/>
      <c r="AL670" s="91"/>
      <c r="AM670" s="91"/>
      <c r="AN670" s="91"/>
      <c r="AO670" s="91"/>
      <c r="AP670" s="91"/>
    </row>
    <row r="671">
      <c r="AK671" s="88"/>
      <c r="AL671" s="91"/>
      <c r="AM671" s="91"/>
      <c r="AN671" s="91"/>
      <c r="AO671" s="91"/>
      <c r="AP671" s="91"/>
    </row>
    <row r="672">
      <c r="AK672" s="88"/>
      <c r="AL672" s="91"/>
      <c r="AM672" s="91"/>
      <c r="AN672" s="91"/>
      <c r="AO672" s="91"/>
      <c r="AP672" s="91"/>
    </row>
    <row r="673">
      <c r="AK673" s="88"/>
      <c r="AL673" s="91"/>
      <c r="AM673" s="91"/>
      <c r="AN673" s="91"/>
      <c r="AO673" s="91"/>
      <c r="AP673" s="91"/>
    </row>
    <row r="674">
      <c r="AK674" s="88"/>
      <c r="AL674" s="91"/>
      <c r="AM674" s="91"/>
      <c r="AN674" s="91"/>
      <c r="AO674" s="91"/>
      <c r="AP674" s="91"/>
    </row>
    <row r="675">
      <c r="AK675" s="88"/>
      <c r="AL675" s="91"/>
      <c r="AM675" s="91"/>
      <c r="AN675" s="91"/>
      <c r="AO675" s="91"/>
      <c r="AP675" s="91"/>
    </row>
    <row r="676">
      <c r="AK676" s="88"/>
      <c r="AL676" s="91"/>
      <c r="AM676" s="91"/>
      <c r="AN676" s="91"/>
      <c r="AO676" s="91"/>
      <c r="AP676" s="91"/>
    </row>
    <row r="677">
      <c r="AK677" s="88"/>
      <c r="AL677" s="91"/>
      <c r="AM677" s="91"/>
      <c r="AN677" s="91"/>
      <c r="AO677" s="91"/>
      <c r="AP677" s="91"/>
    </row>
    <row r="678">
      <c r="AK678" s="88"/>
      <c r="AL678" s="91"/>
      <c r="AM678" s="91"/>
      <c r="AN678" s="91"/>
      <c r="AO678" s="91"/>
      <c r="AP678" s="91"/>
    </row>
    <row r="679">
      <c r="AK679" s="88"/>
      <c r="AL679" s="91"/>
      <c r="AM679" s="91"/>
      <c r="AN679" s="91"/>
      <c r="AO679" s="91"/>
      <c r="AP679" s="91"/>
    </row>
    <row r="680">
      <c r="AK680" s="88"/>
      <c r="AL680" s="91"/>
      <c r="AM680" s="91"/>
      <c r="AN680" s="91"/>
      <c r="AO680" s="91"/>
      <c r="AP680" s="91"/>
    </row>
    <row r="681">
      <c r="AK681" s="88"/>
      <c r="AL681" s="91"/>
      <c r="AM681" s="91"/>
      <c r="AN681" s="91"/>
      <c r="AO681" s="91"/>
      <c r="AP681" s="91"/>
    </row>
    <row r="682">
      <c r="AK682" s="88"/>
      <c r="AL682" s="91"/>
      <c r="AM682" s="91"/>
      <c r="AN682" s="91"/>
      <c r="AO682" s="91"/>
      <c r="AP682" s="91"/>
    </row>
    <row r="683">
      <c r="AK683" s="88"/>
      <c r="AL683" s="91"/>
      <c r="AM683" s="91"/>
      <c r="AN683" s="91"/>
      <c r="AO683" s="91"/>
      <c r="AP683" s="91"/>
    </row>
    <row r="684">
      <c r="AK684" s="88"/>
      <c r="AL684" s="91"/>
      <c r="AM684" s="91"/>
      <c r="AN684" s="91"/>
      <c r="AO684" s="91"/>
      <c r="AP684" s="91"/>
    </row>
    <row r="685">
      <c r="AK685" s="88"/>
      <c r="AL685" s="91"/>
      <c r="AM685" s="91"/>
      <c r="AN685" s="91"/>
      <c r="AO685" s="91"/>
      <c r="AP685" s="91"/>
    </row>
    <row r="686">
      <c r="AK686" s="88"/>
      <c r="AL686" s="91"/>
      <c r="AM686" s="91"/>
      <c r="AN686" s="91"/>
      <c r="AO686" s="91"/>
      <c r="AP686" s="91"/>
    </row>
    <row r="687">
      <c r="AK687" s="88"/>
      <c r="AL687" s="91"/>
      <c r="AM687" s="91"/>
      <c r="AN687" s="91"/>
      <c r="AO687" s="91"/>
      <c r="AP687" s="91"/>
    </row>
    <row r="688">
      <c r="AK688" s="88"/>
      <c r="AL688" s="91"/>
      <c r="AM688" s="91"/>
      <c r="AN688" s="91"/>
      <c r="AO688" s="91"/>
      <c r="AP688" s="91"/>
    </row>
    <row r="689">
      <c r="AK689" s="88"/>
      <c r="AL689" s="91"/>
      <c r="AM689" s="91"/>
      <c r="AN689" s="91"/>
      <c r="AO689" s="91"/>
      <c r="AP689" s="91"/>
    </row>
    <row r="690">
      <c r="AK690" s="88"/>
      <c r="AL690" s="91"/>
      <c r="AM690" s="91"/>
      <c r="AN690" s="91"/>
      <c r="AO690" s="91"/>
      <c r="AP690" s="91"/>
    </row>
    <row r="691">
      <c r="AK691" s="88"/>
      <c r="AL691" s="91"/>
      <c r="AM691" s="91"/>
      <c r="AN691" s="91"/>
      <c r="AO691" s="91"/>
      <c r="AP691" s="91"/>
    </row>
    <row r="692">
      <c r="AK692" s="88"/>
      <c r="AL692" s="91"/>
      <c r="AM692" s="91"/>
      <c r="AN692" s="91"/>
      <c r="AO692" s="91"/>
      <c r="AP692" s="91"/>
    </row>
    <row r="693">
      <c r="AK693" s="88"/>
      <c r="AL693" s="91"/>
      <c r="AM693" s="91"/>
      <c r="AN693" s="91"/>
      <c r="AO693" s="91"/>
      <c r="AP693" s="91"/>
    </row>
    <row r="694">
      <c r="AK694" s="88"/>
      <c r="AL694" s="91"/>
      <c r="AM694" s="91"/>
      <c r="AN694" s="91"/>
      <c r="AO694" s="91"/>
      <c r="AP694" s="91"/>
    </row>
    <row r="695">
      <c r="AK695" s="88"/>
      <c r="AL695" s="91"/>
      <c r="AM695" s="91"/>
      <c r="AN695" s="91"/>
      <c r="AO695" s="91"/>
      <c r="AP695" s="91"/>
    </row>
    <row r="696">
      <c r="AK696" s="88"/>
      <c r="AL696" s="91"/>
      <c r="AM696" s="91"/>
      <c r="AN696" s="91"/>
      <c r="AO696" s="91"/>
      <c r="AP696" s="91"/>
    </row>
    <row r="697">
      <c r="AK697" s="88"/>
      <c r="AL697" s="91"/>
      <c r="AM697" s="91"/>
      <c r="AN697" s="91"/>
      <c r="AO697" s="91"/>
      <c r="AP697" s="91"/>
    </row>
    <row r="698">
      <c r="AK698" s="88"/>
      <c r="AL698" s="91"/>
      <c r="AM698" s="91"/>
      <c r="AN698" s="91"/>
      <c r="AO698" s="91"/>
      <c r="AP698" s="91"/>
    </row>
    <row r="699">
      <c r="AK699" s="88"/>
      <c r="AL699" s="91"/>
      <c r="AM699" s="91"/>
      <c r="AN699" s="91"/>
      <c r="AO699" s="91"/>
      <c r="AP699" s="91"/>
    </row>
    <row r="700">
      <c r="AK700" s="88"/>
      <c r="AL700" s="91"/>
      <c r="AM700" s="91"/>
      <c r="AN700" s="91"/>
      <c r="AO700" s="91"/>
      <c r="AP700" s="91"/>
    </row>
    <row r="701">
      <c r="AK701" s="88"/>
      <c r="AL701" s="91"/>
      <c r="AM701" s="91"/>
      <c r="AN701" s="91"/>
      <c r="AO701" s="91"/>
      <c r="AP701" s="91"/>
    </row>
    <row r="702">
      <c r="AK702" s="88"/>
      <c r="AL702" s="91"/>
      <c r="AM702" s="91"/>
      <c r="AN702" s="91"/>
      <c r="AO702" s="91"/>
      <c r="AP702" s="91"/>
    </row>
    <row r="703">
      <c r="AK703" s="88"/>
      <c r="AL703" s="91"/>
      <c r="AM703" s="91"/>
      <c r="AN703" s="91"/>
      <c r="AO703" s="91"/>
      <c r="AP703" s="91"/>
    </row>
    <row r="704">
      <c r="AK704" s="88"/>
      <c r="AL704" s="91"/>
      <c r="AM704" s="91"/>
      <c r="AN704" s="91"/>
      <c r="AO704" s="91"/>
      <c r="AP704" s="91"/>
    </row>
    <row r="705">
      <c r="AK705" s="88"/>
      <c r="AL705" s="91"/>
      <c r="AM705" s="91"/>
      <c r="AN705" s="91"/>
      <c r="AO705" s="91"/>
      <c r="AP705" s="91"/>
    </row>
    <row r="706">
      <c r="AK706" s="88"/>
      <c r="AL706" s="91"/>
      <c r="AM706" s="91"/>
      <c r="AN706" s="91"/>
      <c r="AO706" s="91"/>
      <c r="AP706" s="91"/>
    </row>
    <row r="707">
      <c r="AK707" s="88"/>
      <c r="AL707" s="91"/>
      <c r="AM707" s="91"/>
      <c r="AN707" s="91"/>
      <c r="AO707" s="91"/>
      <c r="AP707" s="91"/>
    </row>
    <row r="708">
      <c r="AK708" s="88"/>
      <c r="AL708" s="91"/>
      <c r="AM708" s="91"/>
      <c r="AN708" s="91"/>
      <c r="AO708" s="91"/>
      <c r="AP708" s="91"/>
    </row>
    <row r="709">
      <c r="AK709" s="88"/>
      <c r="AL709" s="91"/>
      <c r="AM709" s="91"/>
      <c r="AN709" s="91"/>
      <c r="AO709" s="91"/>
      <c r="AP709" s="91"/>
    </row>
    <row r="710">
      <c r="AK710" s="88"/>
      <c r="AL710" s="91"/>
      <c r="AM710" s="91"/>
      <c r="AN710" s="91"/>
      <c r="AO710" s="91"/>
      <c r="AP710" s="91"/>
    </row>
    <row r="711">
      <c r="AK711" s="88"/>
      <c r="AL711" s="91"/>
      <c r="AM711" s="91"/>
      <c r="AN711" s="91"/>
      <c r="AO711" s="91"/>
      <c r="AP711" s="91"/>
    </row>
    <row r="712">
      <c r="AK712" s="88"/>
      <c r="AL712" s="91"/>
      <c r="AM712" s="91"/>
      <c r="AN712" s="91"/>
      <c r="AO712" s="91"/>
      <c r="AP712" s="91"/>
    </row>
    <row r="713">
      <c r="AK713" s="88"/>
      <c r="AL713" s="91"/>
      <c r="AM713" s="91"/>
      <c r="AN713" s="91"/>
      <c r="AO713" s="91"/>
      <c r="AP713" s="91"/>
    </row>
    <row r="714">
      <c r="AK714" s="88"/>
      <c r="AL714" s="91"/>
      <c r="AM714" s="91"/>
      <c r="AN714" s="91"/>
      <c r="AO714" s="91"/>
      <c r="AP714" s="91"/>
    </row>
    <row r="715">
      <c r="AK715" s="88"/>
      <c r="AL715" s="91"/>
      <c r="AM715" s="91"/>
      <c r="AN715" s="91"/>
      <c r="AO715" s="91"/>
      <c r="AP715" s="91"/>
    </row>
    <row r="716">
      <c r="AK716" s="88"/>
      <c r="AL716" s="91"/>
      <c r="AM716" s="91"/>
      <c r="AN716" s="91"/>
      <c r="AO716" s="91"/>
      <c r="AP716" s="91"/>
    </row>
    <row r="717">
      <c r="AK717" s="88"/>
      <c r="AL717" s="91"/>
      <c r="AM717" s="91"/>
      <c r="AN717" s="91"/>
      <c r="AO717" s="91"/>
      <c r="AP717" s="91"/>
    </row>
    <row r="718">
      <c r="AK718" s="88"/>
      <c r="AL718" s="91"/>
      <c r="AM718" s="91"/>
      <c r="AN718" s="91"/>
      <c r="AO718" s="91"/>
      <c r="AP718" s="91"/>
    </row>
    <row r="719">
      <c r="AK719" s="88"/>
      <c r="AL719" s="91"/>
      <c r="AM719" s="91"/>
      <c r="AN719" s="91"/>
      <c r="AO719" s="91"/>
      <c r="AP719" s="91"/>
    </row>
    <row r="720">
      <c r="AK720" s="88"/>
      <c r="AL720" s="91"/>
      <c r="AM720" s="91"/>
      <c r="AN720" s="91"/>
      <c r="AO720" s="91"/>
      <c r="AP720" s="91"/>
    </row>
    <row r="721">
      <c r="AK721" s="88"/>
      <c r="AL721" s="91"/>
      <c r="AM721" s="91"/>
      <c r="AN721" s="91"/>
      <c r="AO721" s="91"/>
      <c r="AP721" s="91"/>
    </row>
    <row r="722">
      <c r="AK722" s="88"/>
      <c r="AL722" s="91"/>
      <c r="AM722" s="91"/>
      <c r="AN722" s="91"/>
      <c r="AO722" s="91"/>
      <c r="AP722" s="91"/>
    </row>
    <row r="723">
      <c r="AK723" s="88"/>
      <c r="AL723" s="91"/>
      <c r="AM723" s="91"/>
      <c r="AN723" s="91"/>
      <c r="AO723" s="91"/>
      <c r="AP723" s="91"/>
    </row>
    <row r="724">
      <c r="AK724" s="88"/>
      <c r="AL724" s="91"/>
      <c r="AM724" s="91"/>
      <c r="AN724" s="91"/>
      <c r="AO724" s="91"/>
      <c r="AP724" s="91"/>
    </row>
    <row r="725">
      <c r="AK725" s="88"/>
      <c r="AL725" s="91"/>
      <c r="AM725" s="91"/>
      <c r="AN725" s="91"/>
      <c r="AO725" s="91"/>
      <c r="AP725" s="91"/>
    </row>
    <row r="726">
      <c r="AK726" s="88"/>
      <c r="AL726" s="91"/>
      <c r="AM726" s="91"/>
      <c r="AN726" s="91"/>
      <c r="AO726" s="91"/>
      <c r="AP726" s="91"/>
    </row>
    <row r="727">
      <c r="AK727" s="88"/>
      <c r="AL727" s="91"/>
      <c r="AM727" s="91"/>
      <c r="AN727" s="91"/>
      <c r="AO727" s="91"/>
      <c r="AP727" s="91"/>
    </row>
    <row r="728">
      <c r="AK728" s="88"/>
      <c r="AL728" s="91"/>
      <c r="AM728" s="91"/>
      <c r="AN728" s="91"/>
      <c r="AO728" s="91"/>
      <c r="AP728" s="91"/>
    </row>
    <row r="729">
      <c r="AK729" s="88"/>
      <c r="AL729" s="91"/>
      <c r="AM729" s="91"/>
      <c r="AN729" s="91"/>
      <c r="AO729" s="91"/>
      <c r="AP729" s="91"/>
    </row>
    <row r="730">
      <c r="AK730" s="88"/>
      <c r="AL730" s="91"/>
      <c r="AM730" s="91"/>
      <c r="AN730" s="91"/>
      <c r="AO730" s="91"/>
      <c r="AP730" s="91"/>
    </row>
    <row r="731">
      <c r="AK731" s="88"/>
      <c r="AL731" s="91"/>
      <c r="AM731" s="91"/>
      <c r="AN731" s="91"/>
      <c r="AO731" s="91"/>
      <c r="AP731" s="91"/>
    </row>
    <row r="732">
      <c r="AK732" s="88"/>
      <c r="AL732" s="91"/>
      <c r="AM732" s="91"/>
      <c r="AN732" s="91"/>
      <c r="AO732" s="91"/>
      <c r="AP732" s="91"/>
    </row>
    <row r="733">
      <c r="AK733" s="88"/>
      <c r="AL733" s="91"/>
      <c r="AM733" s="91"/>
      <c r="AN733" s="91"/>
      <c r="AO733" s="91"/>
      <c r="AP733" s="91"/>
    </row>
    <row r="734">
      <c r="AK734" s="88"/>
      <c r="AL734" s="91"/>
      <c r="AM734" s="91"/>
      <c r="AN734" s="91"/>
      <c r="AO734" s="91"/>
      <c r="AP734" s="91"/>
    </row>
    <row r="735">
      <c r="AK735" s="88"/>
      <c r="AL735" s="91"/>
      <c r="AM735" s="91"/>
      <c r="AN735" s="91"/>
      <c r="AO735" s="91"/>
      <c r="AP735" s="91"/>
    </row>
    <row r="736">
      <c r="AK736" s="88"/>
      <c r="AL736" s="91"/>
      <c r="AM736" s="91"/>
      <c r="AN736" s="91"/>
      <c r="AO736" s="91"/>
      <c r="AP736" s="91"/>
    </row>
    <row r="737">
      <c r="AK737" s="88"/>
      <c r="AL737" s="91"/>
      <c r="AM737" s="91"/>
      <c r="AN737" s="91"/>
      <c r="AO737" s="91"/>
      <c r="AP737" s="91"/>
    </row>
    <row r="738">
      <c r="AK738" s="88"/>
      <c r="AL738" s="91"/>
      <c r="AM738" s="91"/>
      <c r="AN738" s="91"/>
      <c r="AO738" s="91"/>
      <c r="AP738" s="91"/>
    </row>
    <row r="739">
      <c r="AK739" s="88"/>
      <c r="AL739" s="91"/>
      <c r="AM739" s="91"/>
      <c r="AN739" s="91"/>
      <c r="AO739" s="91"/>
      <c r="AP739" s="91"/>
    </row>
    <row r="740">
      <c r="AK740" s="88"/>
      <c r="AL740" s="91"/>
      <c r="AM740" s="91"/>
      <c r="AN740" s="91"/>
      <c r="AO740" s="91"/>
      <c r="AP740" s="91"/>
    </row>
    <row r="741">
      <c r="AK741" s="88"/>
      <c r="AL741" s="91"/>
      <c r="AM741" s="91"/>
      <c r="AN741" s="91"/>
      <c r="AO741" s="91"/>
      <c r="AP741" s="91"/>
    </row>
    <row r="742">
      <c r="AK742" s="88"/>
      <c r="AL742" s="91"/>
      <c r="AM742" s="91"/>
      <c r="AN742" s="91"/>
      <c r="AO742" s="91"/>
      <c r="AP742" s="91"/>
    </row>
    <row r="743">
      <c r="AK743" s="88"/>
      <c r="AL743" s="91"/>
      <c r="AM743" s="91"/>
      <c r="AN743" s="91"/>
      <c r="AO743" s="91"/>
      <c r="AP743" s="91"/>
    </row>
    <row r="744">
      <c r="AK744" s="88"/>
      <c r="AL744" s="91"/>
      <c r="AM744" s="91"/>
      <c r="AN744" s="91"/>
      <c r="AO744" s="91"/>
      <c r="AP744" s="91"/>
    </row>
    <row r="745">
      <c r="AK745" s="88"/>
      <c r="AL745" s="91"/>
      <c r="AM745" s="91"/>
      <c r="AN745" s="91"/>
      <c r="AO745" s="91"/>
      <c r="AP745" s="91"/>
    </row>
    <row r="746">
      <c r="AK746" s="88"/>
      <c r="AL746" s="91"/>
      <c r="AM746" s="91"/>
      <c r="AN746" s="91"/>
      <c r="AO746" s="91"/>
      <c r="AP746" s="91"/>
    </row>
    <row r="747">
      <c r="AK747" s="88"/>
      <c r="AL747" s="91"/>
      <c r="AM747" s="91"/>
      <c r="AN747" s="91"/>
      <c r="AO747" s="91"/>
      <c r="AP747" s="91"/>
    </row>
    <row r="748">
      <c r="AK748" s="88"/>
      <c r="AL748" s="91"/>
      <c r="AM748" s="91"/>
      <c r="AN748" s="91"/>
      <c r="AO748" s="91"/>
      <c r="AP748" s="91"/>
    </row>
    <row r="749">
      <c r="AK749" s="88"/>
      <c r="AL749" s="91"/>
      <c r="AM749" s="91"/>
      <c r="AN749" s="91"/>
      <c r="AO749" s="91"/>
      <c r="AP749" s="91"/>
    </row>
    <row r="750">
      <c r="AK750" s="88"/>
      <c r="AL750" s="91"/>
      <c r="AM750" s="91"/>
      <c r="AN750" s="91"/>
      <c r="AO750" s="91"/>
      <c r="AP750" s="91"/>
    </row>
    <row r="751">
      <c r="AK751" s="88"/>
      <c r="AL751" s="91"/>
      <c r="AM751" s="91"/>
      <c r="AN751" s="91"/>
      <c r="AO751" s="91"/>
      <c r="AP751" s="91"/>
    </row>
    <row r="752">
      <c r="AK752" s="88"/>
      <c r="AL752" s="91"/>
      <c r="AM752" s="91"/>
      <c r="AN752" s="91"/>
      <c r="AO752" s="91"/>
      <c r="AP752" s="91"/>
    </row>
    <row r="753">
      <c r="AK753" s="88"/>
      <c r="AL753" s="91"/>
      <c r="AM753" s="91"/>
      <c r="AN753" s="91"/>
      <c r="AO753" s="91"/>
      <c r="AP753" s="91"/>
    </row>
    <row r="754">
      <c r="AK754" s="88"/>
      <c r="AL754" s="91"/>
      <c r="AM754" s="91"/>
      <c r="AN754" s="91"/>
      <c r="AO754" s="91"/>
      <c r="AP754" s="91"/>
    </row>
    <row r="755">
      <c r="AK755" s="88"/>
      <c r="AL755" s="91"/>
      <c r="AM755" s="91"/>
      <c r="AN755" s="91"/>
      <c r="AO755" s="91"/>
      <c r="AP755" s="91"/>
    </row>
    <row r="756">
      <c r="AK756" s="88"/>
      <c r="AL756" s="91"/>
      <c r="AM756" s="91"/>
      <c r="AN756" s="91"/>
      <c r="AO756" s="91"/>
      <c r="AP756" s="91"/>
    </row>
    <row r="757">
      <c r="AK757" s="88"/>
      <c r="AL757" s="91"/>
      <c r="AM757" s="91"/>
      <c r="AN757" s="91"/>
      <c r="AO757" s="91"/>
      <c r="AP757" s="91"/>
    </row>
    <row r="758">
      <c r="AK758" s="88"/>
      <c r="AL758" s="91"/>
      <c r="AM758" s="91"/>
      <c r="AN758" s="91"/>
      <c r="AO758" s="91"/>
      <c r="AP758" s="91"/>
    </row>
    <row r="759">
      <c r="AK759" s="88"/>
      <c r="AL759" s="91"/>
      <c r="AM759" s="91"/>
      <c r="AN759" s="91"/>
      <c r="AO759" s="91"/>
      <c r="AP759" s="91"/>
    </row>
    <row r="760">
      <c r="AK760" s="88"/>
      <c r="AL760" s="91"/>
      <c r="AM760" s="91"/>
      <c r="AN760" s="91"/>
      <c r="AO760" s="91"/>
      <c r="AP760" s="91"/>
    </row>
    <row r="761">
      <c r="AK761" s="88"/>
      <c r="AL761" s="91"/>
      <c r="AM761" s="91"/>
      <c r="AN761" s="91"/>
      <c r="AO761" s="91"/>
      <c r="AP761" s="91"/>
    </row>
    <row r="762">
      <c r="AK762" s="88"/>
      <c r="AL762" s="91"/>
      <c r="AM762" s="91"/>
      <c r="AN762" s="91"/>
      <c r="AO762" s="91"/>
      <c r="AP762" s="91"/>
    </row>
    <row r="763">
      <c r="AK763" s="88"/>
      <c r="AL763" s="91"/>
      <c r="AM763" s="91"/>
      <c r="AN763" s="91"/>
      <c r="AO763" s="91"/>
      <c r="AP763" s="91"/>
    </row>
    <row r="764">
      <c r="AK764" s="88"/>
      <c r="AL764" s="91"/>
      <c r="AM764" s="91"/>
      <c r="AN764" s="91"/>
      <c r="AO764" s="91"/>
      <c r="AP764" s="91"/>
    </row>
    <row r="765">
      <c r="AK765" s="88"/>
      <c r="AL765" s="91"/>
      <c r="AM765" s="91"/>
      <c r="AN765" s="91"/>
      <c r="AO765" s="91"/>
      <c r="AP765" s="91"/>
    </row>
    <row r="766">
      <c r="AK766" s="88"/>
      <c r="AL766" s="91"/>
      <c r="AM766" s="91"/>
      <c r="AN766" s="91"/>
      <c r="AO766" s="91"/>
      <c r="AP766" s="91"/>
    </row>
    <row r="767">
      <c r="AK767" s="88"/>
      <c r="AL767" s="91"/>
      <c r="AM767" s="91"/>
      <c r="AN767" s="91"/>
      <c r="AO767" s="91"/>
      <c r="AP767" s="91"/>
    </row>
    <row r="768">
      <c r="AK768" s="88"/>
      <c r="AL768" s="91"/>
      <c r="AM768" s="91"/>
      <c r="AN768" s="91"/>
      <c r="AO768" s="91"/>
      <c r="AP768" s="91"/>
    </row>
    <row r="769">
      <c r="AK769" s="88"/>
      <c r="AL769" s="91"/>
      <c r="AM769" s="91"/>
      <c r="AN769" s="91"/>
      <c r="AO769" s="91"/>
      <c r="AP769" s="91"/>
    </row>
    <row r="770">
      <c r="AK770" s="88"/>
      <c r="AL770" s="91"/>
      <c r="AM770" s="91"/>
      <c r="AN770" s="91"/>
      <c r="AO770" s="91"/>
      <c r="AP770" s="91"/>
    </row>
    <row r="771">
      <c r="AK771" s="88"/>
      <c r="AL771" s="91"/>
      <c r="AM771" s="91"/>
      <c r="AN771" s="91"/>
      <c r="AO771" s="91"/>
      <c r="AP771" s="91"/>
    </row>
    <row r="772">
      <c r="AK772" s="88"/>
      <c r="AL772" s="91"/>
      <c r="AM772" s="91"/>
      <c r="AN772" s="91"/>
      <c r="AO772" s="91"/>
      <c r="AP772" s="91"/>
    </row>
    <row r="773">
      <c r="AK773" s="88"/>
      <c r="AL773" s="91"/>
      <c r="AM773" s="91"/>
      <c r="AN773" s="91"/>
      <c r="AO773" s="91"/>
      <c r="AP773" s="91"/>
    </row>
    <row r="774">
      <c r="AK774" s="88"/>
      <c r="AL774" s="91"/>
      <c r="AM774" s="91"/>
      <c r="AN774" s="91"/>
      <c r="AO774" s="91"/>
      <c r="AP774" s="91"/>
    </row>
    <row r="775">
      <c r="AK775" s="88"/>
      <c r="AL775" s="91"/>
      <c r="AM775" s="91"/>
      <c r="AN775" s="91"/>
      <c r="AO775" s="91"/>
      <c r="AP775" s="91"/>
    </row>
    <row r="776">
      <c r="AK776" s="88"/>
      <c r="AL776" s="91"/>
      <c r="AM776" s="91"/>
      <c r="AN776" s="91"/>
      <c r="AO776" s="91"/>
      <c r="AP776" s="91"/>
    </row>
    <row r="777">
      <c r="AK777" s="88"/>
      <c r="AL777" s="91"/>
      <c r="AM777" s="91"/>
      <c r="AN777" s="91"/>
      <c r="AO777" s="91"/>
      <c r="AP777" s="91"/>
    </row>
    <row r="778">
      <c r="AK778" s="88"/>
      <c r="AL778" s="91"/>
      <c r="AM778" s="91"/>
      <c r="AN778" s="91"/>
      <c r="AO778" s="91"/>
      <c r="AP778" s="91"/>
    </row>
    <row r="779">
      <c r="AK779" s="88"/>
      <c r="AL779" s="91"/>
      <c r="AM779" s="91"/>
      <c r="AN779" s="91"/>
      <c r="AO779" s="91"/>
      <c r="AP779" s="91"/>
    </row>
    <row r="780">
      <c r="AK780" s="88"/>
      <c r="AL780" s="91"/>
      <c r="AM780" s="91"/>
      <c r="AN780" s="91"/>
      <c r="AO780" s="91"/>
      <c r="AP780" s="91"/>
    </row>
    <row r="781">
      <c r="AK781" s="88"/>
      <c r="AL781" s="91"/>
      <c r="AM781" s="91"/>
      <c r="AN781" s="91"/>
      <c r="AO781" s="91"/>
      <c r="AP781" s="91"/>
    </row>
    <row r="782">
      <c r="AK782" s="88"/>
      <c r="AL782" s="91"/>
      <c r="AM782" s="91"/>
      <c r="AN782" s="91"/>
      <c r="AO782" s="91"/>
      <c r="AP782" s="91"/>
    </row>
    <row r="783">
      <c r="AK783" s="88"/>
      <c r="AL783" s="91"/>
      <c r="AM783" s="91"/>
      <c r="AN783" s="91"/>
      <c r="AO783" s="91"/>
      <c r="AP783" s="91"/>
    </row>
    <row r="784">
      <c r="AK784" s="88"/>
      <c r="AL784" s="91"/>
      <c r="AM784" s="91"/>
      <c r="AN784" s="91"/>
      <c r="AO784" s="91"/>
      <c r="AP784" s="91"/>
    </row>
    <row r="785">
      <c r="AK785" s="88"/>
      <c r="AL785" s="91"/>
      <c r="AM785" s="91"/>
      <c r="AN785" s="91"/>
      <c r="AO785" s="91"/>
      <c r="AP785" s="91"/>
    </row>
    <row r="786">
      <c r="AK786" s="88"/>
      <c r="AL786" s="91"/>
      <c r="AM786" s="91"/>
      <c r="AN786" s="91"/>
      <c r="AO786" s="91"/>
      <c r="AP786" s="91"/>
    </row>
    <row r="787">
      <c r="AK787" s="88"/>
      <c r="AL787" s="91"/>
      <c r="AM787" s="91"/>
      <c r="AN787" s="91"/>
      <c r="AO787" s="91"/>
      <c r="AP787" s="91"/>
    </row>
    <row r="788">
      <c r="AK788" s="88"/>
      <c r="AL788" s="91"/>
      <c r="AM788" s="91"/>
      <c r="AN788" s="91"/>
      <c r="AO788" s="91"/>
      <c r="AP788" s="91"/>
    </row>
    <row r="789">
      <c r="AK789" s="88"/>
      <c r="AL789" s="91"/>
      <c r="AM789" s="91"/>
      <c r="AN789" s="91"/>
      <c r="AO789" s="91"/>
      <c r="AP789" s="91"/>
    </row>
    <row r="790">
      <c r="AK790" s="88"/>
      <c r="AL790" s="91"/>
      <c r="AM790" s="91"/>
      <c r="AN790" s="91"/>
      <c r="AO790" s="91"/>
      <c r="AP790" s="91"/>
    </row>
    <row r="791">
      <c r="AK791" s="88"/>
      <c r="AL791" s="91"/>
      <c r="AM791" s="91"/>
      <c r="AN791" s="91"/>
      <c r="AO791" s="91"/>
      <c r="AP791" s="91"/>
    </row>
    <row r="792">
      <c r="AK792" s="88"/>
      <c r="AL792" s="91"/>
      <c r="AM792" s="91"/>
      <c r="AN792" s="91"/>
      <c r="AO792" s="91"/>
      <c r="AP792" s="91"/>
    </row>
    <row r="793">
      <c r="AK793" s="88"/>
      <c r="AL793" s="91"/>
      <c r="AM793" s="91"/>
      <c r="AN793" s="91"/>
      <c r="AO793" s="91"/>
      <c r="AP793" s="91"/>
    </row>
    <row r="794">
      <c r="AK794" s="88"/>
      <c r="AL794" s="91"/>
      <c r="AM794" s="91"/>
      <c r="AN794" s="91"/>
      <c r="AO794" s="91"/>
      <c r="AP794" s="91"/>
    </row>
    <row r="795">
      <c r="AK795" s="88"/>
      <c r="AL795" s="91"/>
      <c r="AM795" s="91"/>
      <c r="AN795" s="91"/>
      <c r="AO795" s="91"/>
      <c r="AP795" s="91"/>
    </row>
    <row r="796">
      <c r="AK796" s="88"/>
      <c r="AL796" s="91"/>
      <c r="AM796" s="91"/>
      <c r="AN796" s="91"/>
      <c r="AO796" s="91"/>
      <c r="AP796" s="91"/>
    </row>
    <row r="797">
      <c r="AK797" s="88"/>
      <c r="AL797" s="91"/>
      <c r="AM797" s="91"/>
      <c r="AN797" s="91"/>
      <c r="AO797" s="91"/>
      <c r="AP797" s="91"/>
    </row>
    <row r="798">
      <c r="AK798" s="88"/>
      <c r="AL798" s="91"/>
      <c r="AM798" s="91"/>
      <c r="AN798" s="91"/>
      <c r="AO798" s="91"/>
      <c r="AP798" s="91"/>
    </row>
    <row r="799">
      <c r="AK799" s="88"/>
      <c r="AL799" s="91"/>
      <c r="AM799" s="91"/>
      <c r="AN799" s="91"/>
      <c r="AO799" s="91"/>
      <c r="AP799" s="91"/>
    </row>
    <row r="800">
      <c r="AK800" s="88"/>
      <c r="AL800" s="91"/>
      <c r="AM800" s="91"/>
      <c r="AN800" s="91"/>
      <c r="AO800" s="91"/>
      <c r="AP800" s="91"/>
    </row>
    <row r="801">
      <c r="AK801" s="88"/>
      <c r="AL801" s="91"/>
      <c r="AM801" s="91"/>
      <c r="AN801" s="91"/>
      <c r="AO801" s="91"/>
      <c r="AP801" s="91"/>
    </row>
    <row r="802">
      <c r="AK802" s="88"/>
      <c r="AL802" s="91"/>
      <c r="AM802" s="91"/>
      <c r="AN802" s="91"/>
      <c r="AO802" s="91"/>
      <c r="AP802" s="91"/>
    </row>
    <row r="803">
      <c r="AK803" s="88"/>
      <c r="AL803" s="91"/>
      <c r="AM803" s="91"/>
      <c r="AN803" s="91"/>
      <c r="AO803" s="91"/>
      <c r="AP803" s="91"/>
    </row>
    <row r="804">
      <c r="AK804" s="88"/>
      <c r="AL804" s="91"/>
      <c r="AM804" s="91"/>
      <c r="AN804" s="91"/>
      <c r="AO804" s="91"/>
      <c r="AP804" s="91"/>
    </row>
    <row r="805">
      <c r="AK805" s="88"/>
      <c r="AL805" s="91"/>
      <c r="AM805" s="91"/>
      <c r="AN805" s="91"/>
      <c r="AO805" s="91"/>
      <c r="AP805" s="91"/>
    </row>
    <row r="806">
      <c r="AK806" s="88"/>
      <c r="AL806" s="91"/>
      <c r="AM806" s="91"/>
      <c r="AN806" s="91"/>
      <c r="AO806" s="91"/>
      <c r="AP806" s="91"/>
    </row>
    <row r="807">
      <c r="AK807" s="88"/>
      <c r="AL807" s="91"/>
      <c r="AM807" s="91"/>
      <c r="AN807" s="91"/>
      <c r="AO807" s="91"/>
      <c r="AP807" s="91"/>
    </row>
    <row r="808">
      <c r="AK808" s="88"/>
      <c r="AL808" s="91"/>
      <c r="AM808" s="91"/>
      <c r="AN808" s="91"/>
      <c r="AO808" s="91"/>
      <c r="AP808" s="91"/>
    </row>
    <row r="809">
      <c r="AK809" s="88"/>
      <c r="AL809" s="91"/>
      <c r="AM809" s="91"/>
      <c r="AN809" s="91"/>
      <c r="AO809" s="91"/>
      <c r="AP809" s="91"/>
    </row>
    <row r="810">
      <c r="AK810" s="88"/>
      <c r="AL810" s="91"/>
      <c r="AM810" s="91"/>
      <c r="AN810" s="91"/>
      <c r="AO810" s="91"/>
      <c r="AP810" s="91"/>
    </row>
    <row r="811">
      <c r="AK811" s="88"/>
      <c r="AL811" s="91"/>
      <c r="AM811" s="91"/>
      <c r="AN811" s="91"/>
      <c r="AO811" s="91"/>
      <c r="AP811" s="91"/>
    </row>
    <row r="812">
      <c r="AK812" s="88"/>
      <c r="AL812" s="91"/>
      <c r="AM812" s="91"/>
      <c r="AN812" s="91"/>
      <c r="AO812" s="91"/>
      <c r="AP812" s="91"/>
    </row>
    <row r="813">
      <c r="AK813" s="88"/>
      <c r="AL813" s="91"/>
      <c r="AM813" s="91"/>
      <c r="AN813" s="91"/>
      <c r="AO813" s="91"/>
      <c r="AP813" s="91"/>
    </row>
    <row r="814">
      <c r="AK814" s="88"/>
      <c r="AL814" s="91"/>
      <c r="AM814" s="91"/>
      <c r="AN814" s="91"/>
      <c r="AO814" s="91"/>
      <c r="AP814" s="91"/>
    </row>
    <row r="815">
      <c r="AK815" s="88"/>
      <c r="AL815" s="91"/>
      <c r="AM815" s="91"/>
      <c r="AN815" s="91"/>
      <c r="AO815" s="91"/>
      <c r="AP815" s="91"/>
    </row>
    <row r="816">
      <c r="AK816" s="88"/>
      <c r="AL816" s="91"/>
      <c r="AM816" s="91"/>
      <c r="AN816" s="91"/>
      <c r="AO816" s="91"/>
      <c r="AP816" s="91"/>
    </row>
    <row r="817">
      <c r="AK817" s="88"/>
      <c r="AL817" s="91"/>
      <c r="AM817" s="91"/>
      <c r="AN817" s="91"/>
      <c r="AO817" s="91"/>
      <c r="AP817" s="91"/>
    </row>
    <row r="818">
      <c r="AK818" s="88"/>
      <c r="AL818" s="91"/>
      <c r="AM818" s="91"/>
      <c r="AN818" s="91"/>
      <c r="AO818" s="91"/>
      <c r="AP818" s="91"/>
    </row>
    <row r="819">
      <c r="AK819" s="88"/>
      <c r="AL819" s="91"/>
      <c r="AM819" s="91"/>
      <c r="AN819" s="91"/>
      <c r="AO819" s="91"/>
      <c r="AP819" s="91"/>
    </row>
    <row r="820">
      <c r="AK820" s="88"/>
      <c r="AL820" s="91"/>
      <c r="AM820" s="91"/>
      <c r="AN820" s="91"/>
      <c r="AO820" s="91"/>
      <c r="AP820" s="91"/>
    </row>
    <row r="821">
      <c r="AK821" s="88"/>
      <c r="AL821" s="91"/>
      <c r="AM821" s="91"/>
      <c r="AN821" s="91"/>
      <c r="AO821" s="91"/>
      <c r="AP821" s="91"/>
    </row>
    <row r="822">
      <c r="AK822" s="88"/>
      <c r="AL822" s="91"/>
      <c r="AM822" s="91"/>
      <c r="AN822" s="91"/>
      <c r="AO822" s="91"/>
      <c r="AP822" s="91"/>
    </row>
    <row r="823">
      <c r="AK823" s="88"/>
      <c r="AL823" s="91"/>
      <c r="AM823" s="91"/>
      <c r="AN823" s="91"/>
      <c r="AO823" s="91"/>
      <c r="AP823" s="91"/>
    </row>
    <row r="824">
      <c r="AK824" s="88"/>
      <c r="AL824" s="91"/>
      <c r="AM824" s="91"/>
      <c r="AN824" s="91"/>
      <c r="AO824" s="91"/>
      <c r="AP824" s="91"/>
    </row>
    <row r="825">
      <c r="AK825" s="88"/>
      <c r="AL825" s="91"/>
      <c r="AM825" s="91"/>
      <c r="AN825" s="91"/>
      <c r="AO825" s="91"/>
      <c r="AP825" s="91"/>
    </row>
    <row r="826">
      <c r="AK826" s="88"/>
      <c r="AL826" s="91"/>
      <c r="AM826" s="91"/>
      <c r="AN826" s="91"/>
      <c r="AO826" s="91"/>
      <c r="AP826" s="91"/>
    </row>
    <row r="827">
      <c r="AK827" s="88"/>
      <c r="AL827" s="91"/>
      <c r="AM827" s="91"/>
      <c r="AN827" s="91"/>
      <c r="AO827" s="91"/>
      <c r="AP827" s="91"/>
    </row>
    <row r="828">
      <c r="AK828" s="88"/>
      <c r="AL828" s="91"/>
      <c r="AM828" s="91"/>
      <c r="AN828" s="91"/>
      <c r="AO828" s="91"/>
      <c r="AP828" s="91"/>
    </row>
    <row r="829">
      <c r="AK829" s="88"/>
      <c r="AL829" s="91"/>
      <c r="AM829" s="91"/>
      <c r="AN829" s="91"/>
      <c r="AO829" s="91"/>
      <c r="AP829" s="91"/>
    </row>
    <row r="830">
      <c r="AK830" s="88"/>
      <c r="AL830" s="91"/>
      <c r="AM830" s="91"/>
      <c r="AN830" s="91"/>
      <c r="AO830" s="91"/>
      <c r="AP830" s="91"/>
    </row>
    <row r="831">
      <c r="AK831" s="88"/>
      <c r="AL831" s="91"/>
      <c r="AM831" s="91"/>
      <c r="AN831" s="91"/>
      <c r="AO831" s="91"/>
      <c r="AP831" s="91"/>
    </row>
    <row r="832">
      <c r="AK832" s="88"/>
      <c r="AL832" s="91"/>
      <c r="AM832" s="91"/>
      <c r="AN832" s="91"/>
      <c r="AO832" s="91"/>
      <c r="AP832" s="91"/>
    </row>
    <row r="833">
      <c r="AK833" s="88"/>
      <c r="AL833" s="91"/>
      <c r="AM833" s="91"/>
      <c r="AN833" s="91"/>
      <c r="AO833" s="91"/>
      <c r="AP833" s="91"/>
    </row>
    <row r="834">
      <c r="AK834" s="88"/>
      <c r="AL834" s="91"/>
      <c r="AM834" s="91"/>
      <c r="AN834" s="91"/>
      <c r="AO834" s="91"/>
      <c r="AP834" s="91"/>
    </row>
    <row r="835">
      <c r="AK835" s="88"/>
      <c r="AL835" s="91"/>
      <c r="AM835" s="91"/>
      <c r="AN835" s="91"/>
      <c r="AO835" s="91"/>
      <c r="AP835" s="91"/>
    </row>
    <row r="836">
      <c r="AK836" s="88"/>
      <c r="AL836" s="91"/>
      <c r="AM836" s="91"/>
      <c r="AN836" s="91"/>
      <c r="AO836" s="91"/>
      <c r="AP836" s="91"/>
    </row>
    <row r="837">
      <c r="AK837" s="88"/>
      <c r="AL837" s="91"/>
      <c r="AM837" s="91"/>
      <c r="AN837" s="91"/>
      <c r="AO837" s="91"/>
      <c r="AP837" s="91"/>
    </row>
    <row r="838">
      <c r="AK838" s="88"/>
      <c r="AL838" s="91"/>
      <c r="AM838" s="91"/>
      <c r="AN838" s="91"/>
      <c r="AO838" s="91"/>
      <c r="AP838" s="91"/>
    </row>
    <row r="839">
      <c r="AK839" s="88"/>
      <c r="AL839" s="91"/>
      <c r="AM839" s="91"/>
      <c r="AN839" s="91"/>
      <c r="AO839" s="91"/>
      <c r="AP839" s="91"/>
    </row>
    <row r="840">
      <c r="AK840" s="88"/>
      <c r="AL840" s="91"/>
      <c r="AM840" s="91"/>
      <c r="AN840" s="91"/>
      <c r="AO840" s="91"/>
      <c r="AP840" s="91"/>
    </row>
    <row r="841">
      <c r="AK841" s="88"/>
      <c r="AL841" s="91"/>
      <c r="AM841" s="91"/>
      <c r="AN841" s="91"/>
      <c r="AO841" s="91"/>
      <c r="AP841" s="91"/>
    </row>
    <row r="842">
      <c r="AK842" s="88"/>
      <c r="AL842" s="91"/>
      <c r="AM842" s="91"/>
      <c r="AN842" s="91"/>
      <c r="AO842" s="91"/>
      <c r="AP842" s="91"/>
    </row>
    <row r="843">
      <c r="AK843" s="88"/>
      <c r="AL843" s="91"/>
      <c r="AM843" s="91"/>
      <c r="AN843" s="91"/>
      <c r="AO843" s="91"/>
      <c r="AP843" s="91"/>
    </row>
    <row r="844">
      <c r="AK844" s="88"/>
      <c r="AL844" s="91"/>
      <c r="AM844" s="91"/>
      <c r="AN844" s="91"/>
      <c r="AO844" s="91"/>
      <c r="AP844" s="91"/>
    </row>
    <row r="845">
      <c r="AK845" s="88"/>
      <c r="AL845" s="91"/>
      <c r="AM845" s="91"/>
      <c r="AN845" s="91"/>
      <c r="AO845" s="91"/>
      <c r="AP845" s="91"/>
    </row>
    <row r="846">
      <c r="AK846" s="88"/>
      <c r="AL846" s="91"/>
      <c r="AM846" s="91"/>
      <c r="AN846" s="91"/>
      <c r="AO846" s="91"/>
      <c r="AP846" s="91"/>
    </row>
    <row r="847">
      <c r="AK847" s="88"/>
      <c r="AL847" s="91"/>
      <c r="AM847" s="91"/>
      <c r="AN847" s="91"/>
      <c r="AO847" s="91"/>
      <c r="AP847" s="91"/>
    </row>
    <row r="848">
      <c r="AK848" s="88"/>
      <c r="AL848" s="91"/>
      <c r="AM848" s="91"/>
      <c r="AN848" s="91"/>
      <c r="AO848" s="91"/>
      <c r="AP848" s="91"/>
    </row>
    <row r="849">
      <c r="AK849" s="88"/>
      <c r="AL849" s="91"/>
      <c r="AM849" s="91"/>
      <c r="AN849" s="91"/>
      <c r="AO849" s="91"/>
      <c r="AP849" s="91"/>
    </row>
    <row r="850">
      <c r="AK850" s="88"/>
      <c r="AL850" s="91"/>
      <c r="AM850" s="91"/>
      <c r="AN850" s="91"/>
      <c r="AO850" s="91"/>
      <c r="AP850" s="91"/>
    </row>
    <row r="851">
      <c r="AK851" s="88"/>
      <c r="AL851" s="91"/>
      <c r="AM851" s="91"/>
      <c r="AN851" s="91"/>
      <c r="AO851" s="91"/>
      <c r="AP851" s="91"/>
    </row>
    <row r="852">
      <c r="AK852" s="88"/>
      <c r="AL852" s="91"/>
      <c r="AM852" s="91"/>
      <c r="AN852" s="91"/>
      <c r="AO852" s="91"/>
      <c r="AP852" s="91"/>
    </row>
    <row r="853">
      <c r="AK853" s="88"/>
      <c r="AL853" s="91"/>
      <c r="AM853" s="91"/>
      <c r="AN853" s="91"/>
      <c r="AO853" s="91"/>
      <c r="AP853" s="91"/>
    </row>
    <row r="854">
      <c r="AK854" s="88"/>
      <c r="AL854" s="91"/>
      <c r="AM854" s="91"/>
      <c r="AN854" s="91"/>
      <c r="AO854" s="91"/>
      <c r="AP854" s="91"/>
    </row>
    <row r="855">
      <c r="AK855" s="88"/>
      <c r="AL855" s="91"/>
      <c r="AM855" s="91"/>
      <c r="AN855" s="91"/>
      <c r="AO855" s="91"/>
      <c r="AP855" s="91"/>
    </row>
    <row r="856">
      <c r="AK856" s="88"/>
      <c r="AL856" s="91"/>
      <c r="AM856" s="91"/>
      <c r="AN856" s="91"/>
      <c r="AO856" s="91"/>
      <c r="AP856" s="91"/>
    </row>
    <row r="857">
      <c r="AK857" s="88"/>
      <c r="AL857" s="91"/>
      <c r="AM857" s="91"/>
      <c r="AN857" s="91"/>
      <c r="AO857" s="91"/>
      <c r="AP857" s="91"/>
    </row>
    <row r="858">
      <c r="AK858" s="88"/>
      <c r="AL858" s="91"/>
      <c r="AM858" s="91"/>
      <c r="AN858" s="91"/>
      <c r="AO858" s="91"/>
      <c r="AP858" s="91"/>
    </row>
    <row r="859">
      <c r="AK859" s="88"/>
      <c r="AL859" s="91"/>
      <c r="AM859" s="91"/>
      <c r="AN859" s="91"/>
      <c r="AO859" s="91"/>
      <c r="AP859" s="91"/>
    </row>
    <row r="860">
      <c r="AK860" s="88"/>
      <c r="AL860" s="91"/>
      <c r="AM860" s="91"/>
      <c r="AN860" s="91"/>
      <c r="AO860" s="91"/>
      <c r="AP860" s="91"/>
    </row>
    <row r="861">
      <c r="AK861" s="88"/>
      <c r="AL861" s="91"/>
      <c r="AM861" s="91"/>
      <c r="AN861" s="91"/>
      <c r="AO861" s="91"/>
      <c r="AP861" s="91"/>
    </row>
    <row r="862">
      <c r="AK862" s="88"/>
      <c r="AL862" s="91"/>
      <c r="AM862" s="91"/>
      <c r="AN862" s="91"/>
      <c r="AO862" s="91"/>
      <c r="AP862" s="91"/>
    </row>
    <row r="863">
      <c r="AK863" s="88"/>
      <c r="AL863" s="91"/>
      <c r="AM863" s="91"/>
      <c r="AN863" s="91"/>
      <c r="AO863" s="91"/>
      <c r="AP863" s="91"/>
    </row>
    <row r="864">
      <c r="AK864" s="88"/>
      <c r="AL864" s="91"/>
      <c r="AM864" s="91"/>
      <c r="AN864" s="91"/>
      <c r="AO864" s="91"/>
      <c r="AP864" s="91"/>
    </row>
    <row r="865">
      <c r="AK865" s="88"/>
      <c r="AL865" s="91"/>
      <c r="AM865" s="91"/>
      <c r="AN865" s="91"/>
      <c r="AO865" s="91"/>
      <c r="AP865" s="91"/>
    </row>
    <row r="866">
      <c r="AK866" s="88"/>
      <c r="AL866" s="91"/>
      <c r="AM866" s="91"/>
      <c r="AN866" s="91"/>
      <c r="AO866" s="91"/>
      <c r="AP866" s="91"/>
    </row>
    <row r="867">
      <c r="AK867" s="88"/>
      <c r="AL867" s="91"/>
      <c r="AM867" s="91"/>
      <c r="AN867" s="91"/>
      <c r="AO867" s="91"/>
      <c r="AP867" s="91"/>
    </row>
    <row r="868">
      <c r="AK868" s="88"/>
      <c r="AL868" s="91"/>
      <c r="AM868" s="91"/>
      <c r="AN868" s="91"/>
      <c r="AO868" s="91"/>
      <c r="AP868" s="91"/>
    </row>
    <row r="869">
      <c r="AK869" s="88"/>
      <c r="AL869" s="91"/>
      <c r="AM869" s="91"/>
      <c r="AN869" s="91"/>
      <c r="AO869" s="91"/>
      <c r="AP869" s="91"/>
    </row>
    <row r="870">
      <c r="AK870" s="88"/>
      <c r="AL870" s="91"/>
      <c r="AM870" s="91"/>
      <c r="AN870" s="91"/>
      <c r="AO870" s="91"/>
      <c r="AP870" s="91"/>
    </row>
    <row r="871">
      <c r="AK871" s="88"/>
      <c r="AL871" s="91"/>
      <c r="AM871" s="91"/>
      <c r="AN871" s="91"/>
      <c r="AO871" s="91"/>
      <c r="AP871" s="91"/>
    </row>
    <row r="872">
      <c r="AK872" s="88"/>
      <c r="AL872" s="91"/>
      <c r="AM872" s="91"/>
      <c r="AN872" s="91"/>
      <c r="AO872" s="91"/>
      <c r="AP872" s="91"/>
    </row>
    <row r="873">
      <c r="AK873" s="88"/>
      <c r="AL873" s="91"/>
      <c r="AM873" s="91"/>
      <c r="AN873" s="91"/>
      <c r="AO873" s="91"/>
      <c r="AP873" s="91"/>
    </row>
    <row r="874">
      <c r="AK874" s="88"/>
      <c r="AL874" s="91"/>
      <c r="AM874" s="91"/>
      <c r="AN874" s="91"/>
      <c r="AO874" s="91"/>
      <c r="AP874" s="91"/>
    </row>
    <row r="875">
      <c r="AK875" s="88"/>
      <c r="AL875" s="91"/>
      <c r="AM875" s="91"/>
      <c r="AN875" s="91"/>
      <c r="AO875" s="91"/>
      <c r="AP875" s="91"/>
    </row>
    <row r="876">
      <c r="AK876" s="88"/>
      <c r="AL876" s="91"/>
      <c r="AM876" s="91"/>
      <c r="AN876" s="91"/>
      <c r="AO876" s="91"/>
      <c r="AP876" s="91"/>
    </row>
    <row r="877">
      <c r="AK877" s="88"/>
      <c r="AL877" s="91"/>
      <c r="AM877" s="91"/>
      <c r="AN877" s="91"/>
      <c r="AO877" s="91"/>
      <c r="AP877" s="91"/>
    </row>
    <row r="878">
      <c r="AK878" s="88"/>
      <c r="AL878" s="91"/>
      <c r="AM878" s="91"/>
      <c r="AN878" s="91"/>
      <c r="AO878" s="91"/>
      <c r="AP878" s="91"/>
    </row>
    <row r="879">
      <c r="AK879" s="88"/>
      <c r="AL879" s="91"/>
      <c r="AM879" s="91"/>
      <c r="AN879" s="91"/>
      <c r="AO879" s="91"/>
      <c r="AP879" s="91"/>
    </row>
    <row r="880">
      <c r="AK880" s="88"/>
      <c r="AL880" s="91"/>
      <c r="AM880" s="91"/>
      <c r="AN880" s="91"/>
      <c r="AO880" s="91"/>
      <c r="AP880" s="91"/>
    </row>
    <row r="881">
      <c r="AK881" s="88"/>
      <c r="AL881" s="91"/>
      <c r="AM881" s="91"/>
      <c r="AN881" s="91"/>
      <c r="AO881" s="91"/>
      <c r="AP881" s="91"/>
    </row>
    <row r="882">
      <c r="AK882" s="88"/>
      <c r="AL882" s="91"/>
      <c r="AM882" s="91"/>
      <c r="AN882" s="91"/>
      <c r="AO882" s="91"/>
      <c r="AP882" s="91"/>
    </row>
    <row r="883">
      <c r="AK883" s="88"/>
      <c r="AL883" s="91"/>
      <c r="AM883" s="91"/>
      <c r="AN883" s="91"/>
      <c r="AO883" s="91"/>
      <c r="AP883" s="91"/>
    </row>
    <row r="884">
      <c r="AK884" s="88"/>
      <c r="AL884" s="91"/>
      <c r="AM884" s="91"/>
      <c r="AN884" s="91"/>
      <c r="AO884" s="91"/>
      <c r="AP884" s="91"/>
    </row>
    <row r="885">
      <c r="AK885" s="88"/>
      <c r="AL885" s="91"/>
      <c r="AM885" s="91"/>
      <c r="AN885" s="91"/>
      <c r="AO885" s="91"/>
      <c r="AP885" s="91"/>
    </row>
    <row r="886">
      <c r="AK886" s="88"/>
      <c r="AL886" s="91"/>
      <c r="AM886" s="91"/>
      <c r="AN886" s="91"/>
      <c r="AO886" s="91"/>
      <c r="AP886" s="91"/>
    </row>
    <row r="887">
      <c r="AK887" s="88"/>
      <c r="AL887" s="91"/>
      <c r="AM887" s="91"/>
      <c r="AN887" s="91"/>
      <c r="AO887" s="91"/>
      <c r="AP887" s="91"/>
    </row>
    <row r="888">
      <c r="AK888" s="88"/>
      <c r="AL888" s="91"/>
      <c r="AM888" s="91"/>
      <c r="AN888" s="91"/>
      <c r="AO888" s="91"/>
      <c r="AP888" s="91"/>
    </row>
    <row r="889">
      <c r="AK889" s="88"/>
      <c r="AL889" s="91"/>
      <c r="AM889" s="91"/>
      <c r="AN889" s="91"/>
      <c r="AO889" s="91"/>
      <c r="AP889" s="91"/>
    </row>
    <row r="890">
      <c r="AK890" s="88"/>
      <c r="AL890" s="91"/>
      <c r="AM890" s="91"/>
      <c r="AN890" s="91"/>
      <c r="AO890" s="91"/>
      <c r="AP890" s="91"/>
    </row>
    <row r="891">
      <c r="AK891" s="88"/>
      <c r="AL891" s="91"/>
      <c r="AM891" s="91"/>
      <c r="AN891" s="91"/>
      <c r="AO891" s="91"/>
      <c r="AP891" s="91"/>
    </row>
    <row r="892">
      <c r="AK892" s="88"/>
      <c r="AL892" s="91"/>
      <c r="AM892" s="91"/>
      <c r="AN892" s="91"/>
      <c r="AO892" s="91"/>
      <c r="AP892" s="91"/>
    </row>
    <row r="893">
      <c r="AK893" s="88"/>
      <c r="AL893" s="91"/>
      <c r="AM893" s="91"/>
      <c r="AN893" s="91"/>
      <c r="AO893" s="91"/>
      <c r="AP893" s="91"/>
    </row>
    <row r="894">
      <c r="AK894" s="88"/>
      <c r="AL894" s="91"/>
      <c r="AM894" s="91"/>
      <c r="AN894" s="91"/>
      <c r="AO894" s="91"/>
      <c r="AP894" s="91"/>
    </row>
    <row r="895">
      <c r="AK895" s="88"/>
      <c r="AL895" s="91"/>
      <c r="AM895" s="91"/>
      <c r="AN895" s="91"/>
      <c r="AO895" s="91"/>
      <c r="AP895" s="91"/>
    </row>
    <row r="896">
      <c r="AK896" s="88"/>
      <c r="AL896" s="91"/>
      <c r="AM896" s="91"/>
      <c r="AN896" s="91"/>
      <c r="AO896" s="91"/>
      <c r="AP896" s="91"/>
    </row>
    <row r="897">
      <c r="AK897" s="88"/>
      <c r="AL897" s="91"/>
      <c r="AM897" s="91"/>
      <c r="AN897" s="91"/>
      <c r="AO897" s="91"/>
      <c r="AP897" s="91"/>
    </row>
    <row r="898">
      <c r="AK898" s="88"/>
      <c r="AL898" s="91"/>
      <c r="AM898" s="91"/>
      <c r="AN898" s="91"/>
      <c r="AO898" s="91"/>
      <c r="AP898" s="91"/>
    </row>
    <row r="899">
      <c r="AK899" s="88"/>
      <c r="AL899" s="91"/>
      <c r="AM899" s="91"/>
      <c r="AN899" s="91"/>
      <c r="AO899" s="91"/>
      <c r="AP899" s="91"/>
    </row>
    <row r="900">
      <c r="AK900" s="88"/>
      <c r="AL900" s="91"/>
      <c r="AM900" s="91"/>
      <c r="AN900" s="91"/>
      <c r="AO900" s="91"/>
      <c r="AP900" s="91"/>
    </row>
    <row r="901">
      <c r="AK901" s="88"/>
      <c r="AL901" s="91"/>
      <c r="AM901" s="91"/>
      <c r="AN901" s="91"/>
      <c r="AO901" s="91"/>
      <c r="AP901" s="91"/>
    </row>
    <row r="902">
      <c r="AK902" s="88"/>
      <c r="AL902" s="91"/>
      <c r="AM902" s="91"/>
      <c r="AN902" s="91"/>
      <c r="AO902" s="91"/>
      <c r="AP902" s="91"/>
    </row>
    <row r="903">
      <c r="AK903" s="88"/>
      <c r="AL903" s="91"/>
      <c r="AM903" s="91"/>
      <c r="AN903" s="91"/>
      <c r="AO903" s="91"/>
      <c r="AP903" s="91"/>
    </row>
    <row r="904">
      <c r="AK904" s="88"/>
      <c r="AL904" s="91"/>
      <c r="AM904" s="91"/>
      <c r="AN904" s="91"/>
      <c r="AO904" s="91"/>
      <c r="AP904" s="91"/>
    </row>
    <row r="905">
      <c r="AK905" s="88"/>
      <c r="AL905" s="91"/>
      <c r="AM905" s="91"/>
      <c r="AN905" s="91"/>
      <c r="AO905" s="91"/>
      <c r="AP905" s="91"/>
    </row>
    <row r="906">
      <c r="AK906" s="88"/>
      <c r="AL906" s="91"/>
      <c r="AM906" s="91"/>
      <c r="AN906" s="91"/>
      <c r="AO906" s="91"/>
      <c r="AP906" s="91"/>
    </row>
    <row r="907">
      <c r="AK907" s="88"/>
      <c r="AL907" s="91"/>
      <c r="AM907" s="91"/>
      <c r="AN907" s="91"/>
      <c r="AO907" s="91"/>
      <c r="AP907" s="91"/>
    </row>
    <row r="908">
      <c r="AK908" s="88"/>
      <c r="AL908" s="91"/>
      <c r="AM908" s="91"/>
      <c r="AN908" s="91"/>
      <c r="AO908" s="91"/>
      <c r="AP908" s="91"/>
    </row>
    <row r="909">
      <c r="AK909" s="88"/>
      <c r="AL909" s="91"/>
      <c r="AM909" s="91"/>
      <c r="AN909" s="91"/>
      <c r="AO909" s="91"/>
      <c r="AP909" s="91"/>
    </row>
    <row r="910">
      <c r="AK910" s="88"/>
      <c r="AL910" s="91"/>
      <c r="AM910" s="91"/>
      <c r="AN910" s="91"/>
      <c r="AO910" s="91"/>
      <c r="AP910" s="91"/>
    </row>
    <row r="911">
      <c r="AK911" s="88"/>
      <c r="AL911" s="91"/>
      <c r="AM911" s="91"/>
      <c r="AN911" s="91"/>
      <c r="AO911" s="91"/>
      <c r="AP911" s="91"/>
    </row>
    <row r="912">
      <c r="AK912" s="88"/>
      <c r="AL912" s="91"/>
      <c r="AM912" s="91"/>
      <c r="AN912" s="91"/>
      <c r="AO912" s="91"/>
      <c r="AP912" s="91"/>
    </row>
    <row r="913">
      <c r="AK913" s="88"/>
      <c r="AL913" s="91"/>
      <c r="AM913" s="91"/>
      <c r="AN913" s="91"/>
      <c r="AO913" s="91"/>
      <c r="AP913" s="91"/>
    </row>
    <row r="914">
      <c r="AK914" s="88"/>
      <c r="AL914" s="91"/>
      <c r="AM914" s="91"/>
      <c r="AN914" s="91"/>
      <c r="AO914" s="91"/>
      <c r="AP914" s="91"/>
    </row>
    <row r="915">
      <c r="AK915" s="88"/>
      <c r="AL915" s="91"/>
      <c r="AM915" s="91"/>
      <c r="AN915" s="91"/>
      <c r="AO915" s="91"/>
      <c r="AP915" s="91"/>
    </row>
    <row r="916">
      <c r="AK916" s="88"/>
      <c r="AL916" s="91"/>
      <c r="AM916" s="91"/>
      <c r="AN916" s="91"/>
      <c r="AO916" s="91"/>
      <c r="AP916" s="91"/>
    </row>
    <row r="917">
      <c r="AK917" s="88"/>
      <c r="AL917" s="91"/>
      <c r="AM917" s="91"/>
      <c r="AN917" s="91"/>
      <c r="AO917" s="91"/>
      <c r="AP917" s="91"/>
    </row>
    <row r="918">
      <c r="AK918" s="88"/>
      <c r="AL918" s="91"/>
      <c r="AM918" s="91"/>
      <c r="AN918" s="91"/>
      <c r="AO918" s="91"/>
      <c r="AP918" s="91"/>
    </row>
    <row r="919">
      <c r="AK919" s="88"/>
      <c r="AL919" s="91"/>
      <c r="AM919" s="91"/>
      <c r="AN919" s="91"/>
      <c r="AO919" s="91"/>
      <c r="AP919" s="91"/>
    </row>
    <row r="920">
      <c r="AK920" s="88"/>
      <c r="AL920" s="91"/>
      <c r="AM920" s="91"/>
      <c r="AN920" s="91"/>
      <c r="AO920" s="91"/>
      <c r="AP920" s="91"/>
    </row>
    <row r="921">
      <c r="AK921" s="88"/>
      <c r="AL921" s="91"/>
      <c r="AM921" s="91"/>
      <c r="AN921" s="91"/>
      <c r="AO921" s="91"/>
      <c r="AP921" s="91"/>
    </row>
    <row r="922">
      <c r="AK922" s="88"/>
      <c r="AL922" s="91"/>
      <c r="AM922" s="91"/>
      <c r="AN922" s="91"/>
      <c r="AO922" s="91"/>
      <c r="AP922" s="91"/>
    </row>
    <row r="923">
      <c r="AK923" s="88"/>
      <c r="AL923" s="91"/>
      <c r="AM923" s="91"/>
      <c r="AN923" s="91"/>
      <c r="AO923" s="91"/>
      <c r="AP923" s="91"/>
    </row>
    <row r="924">
      <c r="AK924" s="88"/>
      <c r="AL924" s="91"/>
      <c r="AM924" s="91"/>
      <c r="AN924" s="91"/>
      <c r="AO924" s="91"/>
      <c r="AP924" s="91"/>
    </row>
    <row r="925">
      <c r="AK925" s="88"/>
      <c r="AL925" s="91"/>
      <c r="AM925" s="91"/>
      <c r="AN925" s="91"/>
      <c r="AO925" s="91"/>
      <c r="AP925" s="91"/>
    </row>
    <row r="926">
      <c r="AK926" s="88"/>
      <c r="AL926" s="91"/>
      <c r="AM926" s="91"/>
      <c r="AN926" s="91"/>
      <c r="AO926" s="91"/>
      <c r="AP926" s="91"/>
    </row>
    <row r="927">
      <c r="AK927" s="88"/>
      <c r="AL927" s="91"/>
      <c r="AM927" s="91"/>
      <c r="AN927" s="91"/>
      <c r="AO927" s="91"/>
      <c r="AP927" s="91"/>
    </row>
    <row r="928">
      <c r="AK928" s="88"/>
      <c r="AL928" s="91"/>
      <c r="AM928" s="91"/>
      <c r="AN928" s="91"/>
      <c r="AO928" s="91"/>
      <c r="AP928" s="91"/>
    </row>
    <row r="929">
      <c r="AK929" s="88"/>
      <c r="AL929" s="91"/>
      <c r="AM929" s="91"/>
      <c r="AN929" s="91"/>
      <c r="AO929" s="91"/>
      <c r="AP929" s="91"/>
    </row>
    <row r="930">
      <c r="AK930" s="88"/>
      <c r="AL930" s="91"/>
      <c r="AM930" s="91"/>
      <c r="AN930" s="91"/>
      <c r="AO930" s="91"/>
      <c r="AP930" s="91"/>
    </row>
    <row r="931">
      <c r="AK931" s="88"/>
      <c r="AL931" s="91"/>
      <c r="AM931" s="91"/>
      <c r="AN931" s="91"/>
      <c r="AO931" s="91"/>
      <c r="AP931" s="91"/>
    </row>
    <row r="932">
      <c r="AK932" s="88"/>
      <c r="AL932" s="91"/>
      <c r="AM932" s="91"/>
      <c r="AN932" s="91"/>
      <c r="AO932" s="91"/>
      <c r="AP932" s="91"/>
    </row>
    <row r="933">
      <c r="AK933" s="88"/>
      <c r="AL933" s="91"/>
      <c r="AM933" s="91"/>
      <c r="AN933" s="91"/>
      <c r="AO933" s="91"/>
      <c r="AP933" s="91"/>
    </row>
    <row r="934">
      <c r="AK934" s="88"/>
      <c r="AL934" s="91"/>
      <c r="AM934" s="91"/>
      <c r="AN934" s="91"/>
      <c r="AO934" s="91"/>
      <c r="AP934" s="91"/>
    </row>
    <row r="935">
      <c r="AK935" s="88"/>
      <c r="AL935" s="91"/>
      <c r="AM935" s="91"/>
      <c r="AN935" s="91"/>
      <c r="AO935" s="91"/>
      <c r="AP935" s="91"/>
    </row>
    <row r="936">
      <c r="AK936" s="88"/>
      <c r="AL936" s="91"/>
      <c r="AM936" s="91"/>
      <c r="AN936" s="91"/>
      <c r="AO936" s="91"/>
      <c r="AP936" s="91"/>
    </row>
    <row r="937">
      <c r="AK937" s="88"/>
      <c r="AL937" s="91"/>
      <c r="AM937" s="91"/>
      <c r="AN937" s="91"/>
      <c r="AO937" s="91"/>
      <c r="AP937" s="91"/>
    </row>
    <row r="938">
      <c r="AK938" s="88"/>
      <c r="AL938" s="91"/>
      <c r="AM938" s="91"/>
      <c r="AN938" s="91"/>
      <c r="AO938" s="91"/>
      <c r="AP938" s="91"/>
    </row>
    <row r="939">
      <c r="AK939" s="88"/>
      <c r="AL939" s="91"/>
      <c r="AM939" s="91"/>
      <c r="AN939" s="91"/>
      <c r="AO939" s="91"/>
      <c r="AP939" s="91"/>
    </row>
    <row r="940">
      <c r="AK940" s="88"/>
      <c r="AL940" s="91"/>
      <c r="AM940" s="91"/>
      <c r="AN940" s="91"/>
      <c r="AO940" s="91"/>
      <c r="AP940" s="91"/>
    </row>
    <row r="941">
      <c r="AK941" s="88"/>
      <c r="AL941" s="91"/>
      <c r="AM941" s="91"/>
      <c r="AN941" s="91"/>
      <c r="AO941" s="91"/>
      <c r="AP941" s="91"/>
    </row>
    <row r="942">
      <c r="AK942" s="88"/>
      <c r="AL942" s="91"/>
      <c r="AM942" s="91"/>
      <c r="AN942" s="91"/>
      <c r="AO942" s="91"/>
      <c r="AP942" s="91"/>
    </row>
    <row r="943">
      <c r="AK943" s="88"/>
      <c r="AL943" s="91"/>
      <c r="AM943" s="91"/>
      <c r="AN943" s="91"/>
      <c r="AO943" s="91"/>
      <c r="AP943" s="91"/>
    </row>
    <row r="944">
      <c r="AK944" s="88"/>
      <c r="AL944" s="91"/>
      <c r="AM944" s="91"/>
      <c r="AN944" s="91"/>
      <c r="AO944" s="91"/>
      <c r="AP944" s="91"/>
    </row>
    <row r="945">
      <c r="AK945" s="88"/>
      <c r="AL945" s="91"/>
      <c r="AM945" s="91"/>
      <c r="AN945" s="91"/>
      <c r="AO945" s="91"/>
      <c r="AP945" s="91"/>
    </row>
    <row r="946">
      <c r="AK946" s="88"/>
      <c r="AL946" s="91"/>
      <c r="AM946" s="91"/>
      <c r="AN946" s="91"/>
      <c r="AO946" s="91"/>
      <c r="AP946" s="91"/>
    </row>
    <row r="947">
      <c r="AK947" s="88"/>
      <c r="AL947" s="91"/>
      <c r="AM947" s="91"/>
      <c r="AN947" s="91"/>
      <c r="AO947" s="91"/>
      <c r="AP947" s="91"/>
    </row>
    <row r="948">
      <c r="AK948" s="88"/>
      <c r="AL948" s="91"/>
      <c r="AM948" s="91"/>
      <c r="AN948" s="91"/>
      <c r="AO948" s="91"/>
      <c r="AP948" s="91"/>
    </row>
    <row r="949">
      <c r="AK949" s="88"/>
      <c r="AL949" s="91"/>
      <c r="AM949" s="91"/>
      <c r="AN949" s="91"/>
      <c r="AO949" s="91"/>
      <c r="AP949" s="91"/>
    </row>
    <row r="950">
      <c r="AK950" s="88"/>
      <c r="AL950" s="91"/>
      <c r="AM950" s="91"/>
      <c r="AN950" s="91"/>
      <c r="AO950" s="91"/>
      <c r="AP950" s="91"/>
    </row>
    <row r="951">
      <c r="AK951" s="88"/>
      <c r="AL951" s="91"/>
      <c r="AM951" s="91"/>
      <c r="AN951" s="91"/>
      <c r="AO951" s="91"/>
      <c r="AP951" s="91"/>
    </row>
    <row r="952">
      <c r="AK952" s="88"/>
      <c r="AL952" s="91"/>
      <c r="AM952" s="91"/>
      <c r="AN952" s="91"/>
      <c r="AO952" s="91"/>
      <c r="AP952" s="91"/>
    </row>
    <row r="953">
      <c r="AK953" s="88"/>
      <c r="AL953" s="91"/>
      <c r="AM953" s="91"/>
      <c r="AN953" s="91"/>
      <c r="AO953" s="91"/>
      <c r="AP953" s="91"/>
    </row>
    <row r="954">
      <c r="AK954" s="88"/>
      <c r="AL954" s="91"/>
      <c r="AM954" s="91"/>
      <c r="AN954" s="91"/>
      <c r="AO954" s="91"/>
      <c r="AP954" s="91"/>
    </row>
    <row r="955">
      <c r="AK955" s="88"/>
      <c r="AL955" s="91"/>
      <c r="AM955" s="91"/>
      <c r="AN955" s="91"/>
      <c r="AO955" s="91"/>
      <c r="AP955" s="91"/>
    </row>
    <row r="956">
      <c r="AK956" s="88"/>
      <c r="AL956" s="91"/>
      <c r="AM956" s="91"/>
      <c r="AN956" s="91"/>
      <c r="AO956" s="91"/>
      <c r="AP956" s="91"/>
    </row>
    <row r="957">
      <c r="AK957" s="88"/>
      <c r="AL957" s="91"/>
      <c r="AM957" s="91"/>
      <c r="AN957" s="91"/>
      <c r="AO957" s="91"/>
      <c r="AP957" s="91"/>
    </row>
    <row r="958">
      <c r="AK958" s="88"/>
      <c r="AL958" s="91"/>
      <c r="AM958" s="91"/>
      <c r="AN958" s="91"/>
      <c r="AO958" s="91"/>
      <c r="AP958" s="91"/>
    </row>
    <row r="959">
      <c r="AK959" s="88"/>
      <c r="AL959" s="91"/>
      <c r="AM959" s="91"/>
      <c r="AN959" s="91"/>
      <c r="AO959" s="91"/>
      <c r="AP959" s="91"/>
    </row>
    <row r="960">
      <c r="AK960" s="88"/>
      <c r="AL960" s="91"/>
      <c r="AM960" s="91"/>
      <c r="AN960" s="91"/>
      <c r="AO960" s="91"/>
      <c r="AP960" s="91"/>
    </row>
    <row r="961">
      <c r="AK961" s="88"/>
      <c r="AL961" s="91"/>
      <c r="AM961" s="91"/>
      <c r="AN961" s="91"/>
      <c r="AO961" s="91"/>
      <c r="AP961" s="91"/>
    </row>
    <row r="962">
      <c r="AK962" s="88"/>
      <c r="AL962" s="91"/>
      <c r="AM962" s="91"/>
      <c r="AN962" s="91"/>
      <c r="AO962" s="91"/>
      <c r="AP962" s="91"/>
    </row>
    <row r="963">
      <c r="AK963" s="88"/>
      <c r="AL963" s="91"/>
      <c r="AM963" s="91"/>
      <c r="AN963" s="91"/>
      <c r="AO963" s="91"/>
      <c r="AP963" s="91"/>
    </row>
    <row r="964">
      <c r="AK964" s="88"/>
      <c r="AL964" s="91"/>
      <c r="AM964" s="91"/>
      <c r="AN964" s="91"/>
      <c r="AO964" s="91"/>
      <c r="AP964" s="91"/>
    </row>
    <row r="965">
      <c r="AK965" s="88"/>
      <c r="AL965" s="91"/>
      <c r="AM965" s="91"/>
      <c r="AN965" s="91"/>
      <c r="AO965" s="91"/>
      <c r="AP965" s="91"/>
    </row>
    <row r="966">
      <c r="AK966" s="88"/>
      <c r="AL966" s="91"/>
      <c r="AM966" s="91"/>
      <c r="AN966" s="91"/>
      <c r="AO966" s="91"/>
      <c r="AP966" s="91"/>
    </row>
    <row r="967">
      <c r="AK967" s="88"/>
      <c r="AL967" s="91"/>
      <c r="AM967" s="91"/>
      <c r="AN967" s="91"/>
      <c r="AO967" s="91"/>
      <c r="AP967" s="91"/>
    </row>
    <row r="968">
      <c r="AK968" s="88"/>
      <c r="AL968" s="91"/>
      <c r="AM968" s="91"/>
      <c r="AN968" s="91"/>
      <c r="AO968" s="91"/>
      <c r="AP968" s="91"/>
    </row>
    <row r="969">
      <c r="AK969" s="88"/>
      <c r="AL969" s="91"/>
      <c r="AM969" s="91"/>
      <c r="AN969" s="91"/>
      <c r="AO969" s="91"/>
      <c r="AP969" s="91"/>
    </row>
    <row r="970">
      <c r="AK970" s="88"/>
      <c r="AL970" s="91"/>
      <c r="AM970" s="91"/>
      <c r="AN970" s="91"/>
      <c r="AO970" s="91"/>
      <c r="AP970" s="91"/>
    </row>
    <row r="971">
      <c r="AK971" s="88"/>
      <c r="AL971" s="91"/>
      <c r="AM971" s="91"/>
      <c r="AN971" s="91"/>
      <c r="AO971" s="91"/>
      <c r="AP971" s="91"/>
    </row>
    <row r="972">
      <c r="AK972" s="88"/>
      <c r="AL972" s="91"/>
      <c r="AM972" s="91"/>
      <c r="AN972" s="91"/>
      <c r="AO972" s="91"/>
      <c r="AP972" s="91"/>
    </row>
    <row r="973">
      <c r="AK973" s="88"/>
      <c r="AL973" s="91"/>
      <c r="AM973" s="91"/>
      <c r="AN973" s="91"/>
      <c r="AO973" s="91"/>
      <c r="AP973" s="91"/>
    </row>
    <row r="974">
      <c r="AK974" s="88"/>
      <c r="AL974" s="91"/>
      <c r="AM974" s="91"/>
      <c r="AN974" s="91"/>
      <c r="AO974" s="91"/>
      <c r="AP974" s="91"/>
    </row>
    <row r="975">
      <c r="AK975" s="88"/>
      <c r="AL975" s="91"/>
      <c r="AM975" s="91"/>
      <c r="AN975" s="91"/>
      <c r="AO975" s="91"/>
      <c r="AP975" s="91"/>
    </row>
    <row r="976">
      <c r="AK976" s="88"/>
      <c r="AL976" s="91"/>
      <c r="AM976" s="91"/>
      <c r="AN976" s="91"/>
      <c r="AO976" s="91"/>
      <c r="AP976" s="91"/>
    </row>
    <row r="977">
      <c r="AK977" s="88"/>
      <c r="AL977" s="91"/>
      <c r="AM977" s="91"/>
      <c r="AN977" s="91"/>
      <c r="AO977" s="91"/>
      <c r="AP977" s="91"/>
    </row>
    <row r="978">
      <c r="AK978" s="88"/>
      <c r="AL978" s="91"/>
      <c r="AM978" s="91"/>
      <c r="AN978" s="91"/>
      <c r="AO978" s="91"/>
      <c r="AP978" s="91"/>
    </row>
    <row r="979">
      <c r="AK979" s="88"/>
      <c r="AL979" s="91"/>
      <c r="AM979" s="91"/>
      <c r="AN979" s="91"/>
      <c r="AO979" s="91"/>
      <c r="AP979" s="91"/>
    </row>
    <row r="980">
      <c r="AK980" s="88"/>
      <c r="AL980" s="91"/>
      <c r="AM980" s="91"/>
      <c r="AN980" s="91"/>
      <c r="AO980" s="91"/>
      <c r="AP980" s="91"/>
    </row>
    <row r="981">
      <c r="AK981" s="88"/>
      <c r="AL981" s="91"/>
      <c r="AM981" s="91"/>
      <c r="AN981" s="91"/>
      <c r="AO981" s="91"/>
      <c r="AP981" s="91"/>
    </row>
    <row r="982">
      <c r="AK982" s="88"/>
      <c r="AL982" s="91"/>
      <c r="AM982" s="91"/>
      <c r="AN982" s="91"/>
      <c r="AO982" s="91"/>
      <c r="AP982" s="91"/>
    </row>
    <row r="983">
      <c r="AK983" s="88"/>
      <c r="AL983" s="91"/>
      <c r="AM983" s="91"/>
      <c r="AN983" s="91"/>
      <c r="AO983" s="91"/>
      <c r="AP983" s="91"/>
    </row>
    <row r="984">
      <c r="AK984" s="88"/>
      <c r="AL984" s="91"/>
      <c r="AM984" s="91"/>
      <c r="AN984" s="91"/>
      <c r="AO984" s="91"/>
      <c r="AP984" s="91"/>
    </row>
    <row r="985">
      <c r="AK985" s="88"/>
      <c r="AL985" s="91"/>
      <c r="AM985" s="91"/>
      <c r="AN985" s="91"/>
      <c r="AO985" s="91"/>
      <c r="AP985" s="91"/>
    </row>
    <row r="986">
      <c r="AK986" s="88"/>
      <c r="AL986" s="91"/>
      <c r="AM986" s="91"/>
      <c r="AN986" s="91"/>
      <c r="AO986" s="91"/>
      <c r="AP986" s="91"/>
    </row>
    <row r="987">
      <c r="AK987" s="88"/>
      <c r="AL987" s="91"/>
      <c r="AM987" s="91"/>
      <c r="AN987" s="91"/>
      <c r="AO987" s="91"/>
      <c r="AP987" s="91"/>
    </row>
    <row r="988">
      <c r="AK988" s="88"/>
      <c r="AL988" s="91"/>
      <c r="AM988" s="91"/>
      <c r="AN988" s="91"/>
      <c r="AO988" s="91"/>
      <c r="AP988" s="91"/>
    </row>
    <row r="989">
      <c r="AK989" s="88"/>
      <c r="AL989" s="91"/>
      <c r="AM989" s="91"/>
      <c r="AN989" s="91"/>
      <c r="AO989" s="91"/>
      <c r="AP989" s="91"/>
    </row>
    <row r="990">
      <c r="AK990" s="88"/>
      <c r="AL990" s="91"/>
      <c r="AM990" s="91"/>
      <c r="AN990" s="91"/>
      <c r="AO990" s="91"/>
      <c r="AP990" s="91"/>
    </row>
    <row r="991">
      <c r="AK991" s="88"/>
      <c r="AL991" s="91"/>
      <c r="AM991" s="91"/>
      <c r="AN991" s="91"/>
      <c r="AO991" s="91"/>
      <c r="AP991" s="91"/>
    </row>
    <row r="992">
      <c r="AK992" s="88"/>
      <c r="AL992" s="91"/>
      <c r="AM992" s="91"/>
      <c r="AN992" s="91"/>
      <c r="AO992" s="91"/>
      <c r="AP992" s="91"/>
    </row>
    <row r="993">
      <c r="AK993" s="88"/>
      <c r="AL993" s="91"/>
      <c r="AM993" s="91"/>
      <c r="AN993" s="91"/>
      <c r="AO993" s="91"/>
      <c r="AP993" s="91"/>
    </row>
    <row r="994">
      <c r="AK994" s="88"/>
      <c r="AL994" s="91"/>
      <c r="AM994" s="91"/>
      <c r="AN994" s="91"/>
      <c r="AO994" s="91"/>
      <c r="AP994" s="91"/>
    </row>
    <row r="995">
      <c r="AK995" s="88"/>
      <c r="AL995" s="91"/>
      <c r="AM995" s="91"/>
      <c r="AN995" s="91"/>
      <c r="AO995" s="91"/>
      <c r="AP995" s="91"/>
    </row>
    <row r="996">
      <c r="AK996" s="88"/>
      <c r="AL996" s="91"/>
      <c r="AM996" s="91"/>
      <c r="AN996" s="91"/>
      <c r="AO996" s="91"/>
      <c r="AP996" s="91"/>
    </row>
    <row r="997">
      <c r="AK997" s="88"/>
      <c r="AL997" s="91"/>
      <c r="AM997" s="91"/>
      <c r="AN997" s="91"/>
      <c r="AO997" s="91"/>
      <c r="AP997" s="91"/>
    </row>
    <row r="998">
      <c r="AK998" s="88"/>
      <c r="AL998" s="91"/>
      <c r="AM998" s="91"/>
      <c r="AN998" s="91"/>
      <c r="AO998" s="91"/>
      <c r="AP998" s="91"/>
    </row>
    <row r="999">
      <c r="AK999" s="88"/>
      <c r="AL999" s="91"/>
      <c r="AM999" s="91"/>
      <c r="AN999" s="91"/>
      <c r="AO999" s="91"/>
      <c r="AP999" s="91"/>
    </row>
    <row r="1000">
      <c r="AK1000" s="88"/>
      <c r="AL1000" s="91"/>
      <c r="AM1000" s="91"/>
      <c r="AN1000" s="91"/>
      <c r="AO1000" s="91"/>
      <c r="AP1000" s="91"/>
    </row>
    <row r="1001">
      <c r="AK1001" s="88"/>
      <c r="AL1001" s="91"/>
      <c r="AM1001" s="91"/>
      <c r="AN1001" s="91"/>
      <c r="AO1001" s="91"/>
      <c r="AP1001" s="91"/>
    </row>
    <row r="1002">
      <c r="AK1002" s="88"/>
      <c r="AL1002" s="91"/>
      <c r="AM1002" s="91"/>
      <c r="AN1002" s="91"/>
      <c r="AO1002" s="91"/>
      <c r="AP1002" s="91"/>
    </row>
  </sheetData>
  <mergeCells count="15">
    <mergeCell ref="X1:AB1"/>
    <mergeCell ref="AD1:AD3"/>
    <mergeCell ref="AE1:AI1"/>
    <mergeCell ref="AK1:AK3"/>
    <mergeCell ref="AL1:AL3"/>
    <mergeCell ref="AM1:AM3"/>
    <mergeCell ref="AN1:AN3"/>
    <mergeCell ref="AO1:AO3"/>
    <mergeCell ref="A1:A3"/>
    <mergeCell ref="B1:B3"/>
    <mergeCell ref="C1:C3"/>
    <mergeCell ref="N1:N3"/>
    <mergeCell ref="O1:O3"/>
    <mergeCell ref="P1:U1"/>
    <mergeCell ref="W1:W3"/>
  </mergeCells>
  <drawing r:id="rId1"/>
</worksheet>
</file>